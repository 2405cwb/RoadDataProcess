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4B3ABAD3-47FA-4A03-92C7-D3BB63C92041}" xr6:coauthVersionLast="47" xr6:coauthVersionMax="47" xr10:uidLastSave="{00000000-0000-0000-0000-000000000000}"/>
  <bookViews>
    <workbookView xWindow="3075" yWindow="4680" windowWidth="21600" windowHeight="11295" xr2:uid="{00000000-000D-0000-FFFF-FFFF00000000}"/>
  </bookViews>
  <sheets>
    <sheet name="路基损坏调查表" sheetId="4" r:id="rId1"/>
  </sheets>
  <definedNames>
    <definedName name="_xlnm._FilterDatabase" localSheetId="0" hidden="1">路基损坏调查表!$T$1:$T$17</definedName>
  </definedNames>
  <calcPr calcId="191029"/>
</workbook>
</file>

<file path=xl/calcChain.xml><?xml version="1.0" encoding="utf-8"?>
<calcChain xmlns="http://schemas.openxmlformats.org/spreadsheetml/2006/main">
  <c r="Q11" i="4" l="1"/>
  <c r="Q10" i="4"/>
  <c r="Q9" i="4"/>
  <c r="Q8" i="4"/>
  <c r="P9" i="4"/>
  <c r="P10" i="4"/>
  <c r="P11" i="4"/>
  <c r="P8" i="4"/>
  <c r="B14" i="4" l="1"/>
  <c r="R9" i="4"/>
  <c r="R10" i="4"/>
  <c r="R11" i="4"/>
  <c r="R8" i="4"/>
  <c r="S14" i="4" l="1"/>
</calcChain>
</file>

<file path=xl/sharedStrings.xml><?xml version="1.0" encoding="utf-8"?>
<sst xmlns="http://schemas.openxmlformats.org/spreadsheetml/2006/main" count="26" uniqueCount="23">
  <si>
    <t>调查方向:</t>
    <phoneticPr fontId="3" type="noConversion"/>
  </si>
  <si>
    <t>调查时间：</t>
    <phoneticPr fontId="3" type="noConversion"/>
  </si>
  <si>
    <t>调查人员：</t>
    <phoneticPr fontId="3" type="noConversion"/>
  </si>
  <si>
    <t>调查内容</t>
    <phoneticPr fontId="3" type="noConversion"/>
  </si>
  <si>
    <t>权重
Wi</t>
    <phoneticPr fontId="3" type="noConversion"/>
  </si>
  <si>
    <t>计量
单位</t>
    <phoneticPr fontId="3" type="noConversion"/>
  </si>
  <si>
    <t>起点桩号：</t>
    <phoneticPr fontId="3" type="noConversion"/>
  </si>
  <si>
    <t>计算方法:</t>
    <phoneticPr fontId="3" type="noConversion"/>
  </si>
  <si>
    <t>评定结果:</t>
    <phoneticPr fontId="3" type="noConversion"/>
  </si>
  <si>
    <t>处</t>
    <phoneticPr fontId="3" type="noConversion"/>
  </si>
  <si>
    <t>路面宽度：</t>
    <phoneticPr fontId="3" type="noConversion"/>
  </si>
  <si>
    <t>路段长度：</t>
    <phoneticPr fontId="3" type="noConversion"/>
  </si>
  <si>
    <t>终点桩号：</t>
    <phoneticPr fontId="3" type="noConversion"/>
  </si>
  <si>
    <t>累计
损坏</t>
    <phoneticPr fontId="3" type="noConversion"/>
  </si>
  <si>
    <t>路基损坏调查表</t>
    <phoneticPr fontId="3" type="noConversion"/>
  </si>
  <si>
    <t>路线名称:</t>
    <phoneticPr fontId="3" type="noConversion"/>
  </si>
  <si>
    <t>SCI =</t>
    <phoneticPr fontId="3" type="noConversion"/>
  </si>
  <si>
    <t>单位扣分</t>
    <phoneticPr fontId="3" type="noConversion"/>
  </si>
  <si>
    <t>边坡坍塌</t>
    <phoneticPr fontId="1" type="noConversion"/>
  </si>
  <si>
    <t>路基沉降</t>
  </si>
  <si>
    <t>排水不畅</t>
  </si>
  <si>
    <t>百米单元统计表</t>
    <phoneticPr fontId="1" type="noConversion"/>
  </si>
  <si>
    <t>防护及支挡结构物损坏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</si>
</sst>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\+000"/>
    <numFmt numFmtId="177" formatCode="000\+000"/>
    <numFmt numFmtId="178" formatCode="0.00_ "/>
    <numFmt numFmtId="179" formatCode="0000&quot;年&quot;00&quot;月&quot;00&quot;日&quot;"/>
    <numFmt numFmtId="180" formatCode="\K0000\+000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2"/>
      <color theme="0"/>
      <name val="宋体"/>
      <family val="3"/>
      <charset val="134"/>
    </font>
    <font>
      <sz val="11"/>
      <color theme="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65">
    <xf numFmtId="0" fontId="0" fillId="0" borderId="0" xfId="0">
      <alignment vertical="center"/>
    </xf>
    <xf numFmtId="0" fontId="6" fillId="0" borderId="0" xfId="1"/>
    <xf numFmtId="0" fontId="5" fillId="0" borderId="1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4" fillId="0" borderId="7" xfId="1" applyFont="1" applyBorder="1" applyAlignment="1">
      <alignment horizontal="center" vertical="distributed"/>
    </xf>
    <xf numFmtId="0" fontId="4" fillId="0" borderId="10" xfId="1" applyFont="1" applyBorder="1" applyAlignment="1">
      <alignment vertical="distributed" wrapText="1"/>
    </xf>
    <xf numFmtId="177" fontId="4" fillId="0" borderId="10" xfId="1" applyNumberFormat="1" applyFont="1" applyBorder="1" applyAlignment="1">
      <alignment vertical="distributed" wrapText="1"/>
    </xf>
    <xf numFmtId="0" fontId="4" fillId="0" borderId="4" xfId="1" applyFont="1" applyBorder="1" applyAlignment="1">
      <alignment vertical="distributed"/>
    </xf>
    <xf numFmtId="0" fontId="4" fillId="0" borderId="2" xfId="1" applyFont="1" applyBorder="1" applyAlignment="1">
      <alignment horizontal="left" vertical="center"/>
    </xf>
    <xf numFmtId="0" fontId="7" fillId="0" borderId="0" xfId="1" applyFont="1"/>
    <xf numFmtId="176" fontId="8" fillId="0" borderId="0" xfId="0" applyNumberFormat="1" applyFont="1" applyAlignment="1"/>
    <xf numFmtId="0" fontId="8" fillId="0" borderId="0" xfId="0" applyFont="1" applyAlignment="1"/>
    <xf numFmtId="0" fontId="7" fillId="0" borderId="0" xfId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8" fontId="4" fillId="0" borderId="14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178" fontId="4" fillId="0" borderId="8" xfId="1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distributed"/>
    </xf>
    <xf numFmtId="0" fontId="4" fillId="0" borderId="13" xfId="1" applyFont="1" applyBorder="1" applyAlignment="1">
      <alignment horizontal="center" vertical="distributed"/>
    </xf>
    <xf numFmtId="0" fontId="7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1" applyFont="1" applyAlignment="1">
      <alignment horizontal="center" vertical="distributed"/>
    </xf>
    <xf numFmtId="0" fontId="2" fillId="0" borderId="1" xfId="1" applyFont="1" applyBorder="1" applyAlignment="1">
      <alignment horizontal="center" vertical="distributed"/>
    </xf>
    <xf numFmtId="179" fontId="4" fillId="0" borderId="3" xfId="1" applyNumberFormat="1" applyFont="1" applyBorder="1" applyAlignment="1">
      <alignment horizontal="center" vertical="center"/>
    </xf>
    <xf numFmtId="179" fontId="4" fillId="0" borderId="4" xfId="1" applyNumberFormat="1" applyFont="1" applyBorder="1" applyAlignment="1">
      <alignment horizontal="center" vertical="center"/>
    </xf>
    <xf numFmtId="179" fontId="4" fillId="0" borderId="2" xfId="1" applyNumberFormat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distributed"/>
    </xf>
    <xf numFmtId="0" fontId="4" fillId="0" borderId="15" xfId="1" applyFont="1" applyBorder="1" applyAlignment="1">
      <alignment horizontal="center" vertical="distributed"/>
    </xf>
    <xf numFmtId="0" fontId="4" fillId="0" borderId="19" xfId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distributed"/>
    </xf>
    <xf numFmtId="0" fontId="4" fillId="0" borderId="4" xfId="1" applyFont="1" applyBorder="1" applyAlignment="1">
      <alignment horizontal="center" vertical="distributed"/>
    </xf>
    <xf numFmtId="0" fontId="4" fillId="0" borderId="9" xfId="1" applyFont="1" applyBorder="1" applyAlignment="1">
      <alignment horizontal="center" vertical="distributed" wrapText="1"/>
    </xf>
    <xf numFmtId="0" fontId="4" fillId="0" borderId="10" xfId="1" applyFont="1" applyBorder="1" applyAlignment="1">
      <alignment horizontal="center" vertical="distributed" wrapText="1"/>
    </xf>
    <xf numFmtId="0" fontId="4" fillId="0" borderId="7" xfId="1" applyFont="1" applyBorder="1" applyAlignment="1">
      <alignment horizontal="center" vertical="distributed" wrapText="1"/>
    </xf>
    <xf numFmtId="0" fontId="4" fillId="0" borderId="5" xfId="1" applyFont="1" applyBorder="1" applyAlignment="1">
      <alignment horizontal="center" vertical="distributed"/>
    </xf>
    <xf numFmtId="0" fontId="4" fillId="0" borderId="2" xfId="1" applyFont="1" applyBorder="1" applyAlignment="1">
      <alignment horizontal="center" vertical="distributed"/>
    </xf>
    <xf numFmtId="0" fontId="4" fillId="0" borderId="9" xfId="1" applyFont="1" applyBorder="1" applyAlignment="1">
      <alignment horizontal="center" vertical="center" wrapText="1"/>
    </xf>
    <xf numFmtId="180" fontId="4" fillId="0" borderId="9" xfId="1" applyNumberFormat="1" applyFont="1" applyBorder="1" applyAlignment="1">
      <alignment horizontal="center" vertical="distributed" wrapText="1"/>
    </xf>
    <xf numFmtId="180" fontId="4" fillId="0" borderId="10" xfId="1" applyNumberFormat="1" applyFont="1" applyBorder="1" applyAlignment="1">
      <alignment horizontal="center" vertical="distributed" wrapText="1"/>
    </xf>
    <xf numFmtId="0" fontId="5" fillId="0" borderId="0" xfId="1" applyFont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4" xfId="1" applyFont="1" applyBorder="1" applyAlignment="1">
      <alignment horizontal="left" vertical="center"/>
    </xf>
    <xf numFmtId="0" fontId="4" fillId="0" borderId="9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180" fontId="4" fillId="0" borderId="6" xfId="1" applyNumberFormat="1" applyFont="1" applyBorder="1" applyAlignment="1">
      <alignment horizontal="center" vertical="distributed" wrapText="1"/>
    </xf>
    <xf numFmtId="0" fontId="4" fillId="0" borderId="6" xfId="1" applyFont="1" applyBorder="1" applyAlignment="1">
      <alignment horizontal="center" vertical="distributed" wrapText="1"/>
    </xf>
    <xf numFmtId="0" fontId="4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distributed"/>
    </xf>
    <xf numFmtId="0" fontId="4" fillId="0" borderId="16" xfId="1" applyFont="1" applyBorder="1" applyAlignment="1">
      <alignment horizontal="center" vertical="distributed"/>
    </xf>
    <xf numFmtId="0" fontId="4" fillId="0" borderId="20" xfId="1" applyFont="1" applyBorder="1" applyAlignment="1">
      <alignment horizontal="center" vertical="distributed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13</xdr:row>
      <xdr:rowOff>9525</xdr:rowOff>
    </xdr:from>
    <xdr:to>
      <xdr:col>15</xdr:col>
      <xdr:colOff>323850</xdr:colOff>
      <xdr:row>16</xdr:row>
      <xdr:rowOff>104775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067350E-1006-0127-2D60-6F8E07D59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2362200"/>
          <a:ext cx="31908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zoomScaleNormal="100" workbookViewId="0">
      <selection activeCell="R5" sqref="R5"/>
    </sheetView>
  </sheetViews>
  <sheetFormatPr defaultRowHeight="14.25" x14ac:dyDescent="0.15"/>
  <cols>
    <col min="1" max="1" width="18.75" style="1" customWidth="1"/>
    <col min="2" max="5" width="5" style="1" customWidth="1"/>
    <col min="6" max="15" width="4.625" style="1" customWidth="1"/>
    <col min="16" max="16" width="7.75" style="1" customWidth="1"/>
    <col min="17" max="17" width="9" style="22"/>
    <col min="18" max="18" width="9.5" style="15" bestFit="1" customWidth="1"/>
    <col min="19" max="16384" width="9" style="1"/>
  </cols>
  <sheetData>
    <row r="1" spans="1:21" ht="14.25" customHeight="1" x14ac:dyDescent="0.15">
      <c r="A1" s="24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21" ht="14.25" customHeight="1" thickBo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21" ht="14.25" customHeight="1" x14ac:dyDescent="0.15">
      <c r="A3" s="11" t="s">
        <v>15</v>
      </c>
      <c r="B3" s="34" t="s">
        <v>0</v>
      </c>
      <c r="C3" s="35"/>
      <c r="D3" s="34"/>
      <c r="E3" s="40"/>
      <c r="F3" s="39" t="s">
        <v>1</v>
      </c>
      <c r="G3" s="39"/>
      <c r="H3" s="26"/>
      <c r="I3" s="27"/>
      <c r="J3" s="28"/>
      <c r="K3" s="39" t="s">
        <v>2</v>
      </c>
      <c r="L3" s="39"/>
      <c r="M3" s="34"/>
      <c r="N3" s="35"/>
      <c r="O3" s="10"/>
      <c r="P3" s="10"/>
      <c r="S3" s="12"/>
      <c r="T3" s="12"/>
      <c r="U3" s="12"/>
    </row>
    <row r="4" spans="1:21" ht="14.25" customHeight="1" x14ac:dyDescent="0.15">
      <c r="A4" s="29" t="s">
        <v>3</v>
      </c>
      <c r="B4" s="62" t="s">
        <v>17</v>
      </c>
      <c r="C4" s="29"/>
      <c r="D4" s="32" t="s">
        <v>4</v>
      </c>
      <c r="E4" s="59" t="s">
        <v>5</v>
      </c>
      <c r="F4" s="38" t="s">
        <v>6</v>
      </c>
      <c r="G4" s="38"/>
      <c r="H4" s="42"/>
      <c r="I4" s="43"/>
      <c r="J4" s="57"/>
      <c r="K4" s="38" t="s">
        <v>12</v>
      </c>
      <c r="L4" s="38"/>
      <c r="M4" s="42"/>
      <c r="N4" s="43"/>
      <c r="O4" s="9"/>
      <c r="P4" s="41" t="s">
        <v>13</v>
      </c>
      <c r="S4" s="12"/>
      <c r="T4" s="12"/>
      <c r="U4" s="12"/>
    </row>
    <row r="5" spans="1:21" ht="14.25" customHeight="1" x14ac:dyDescent="0.15">
      <c r="A5" s="30"/>
      <c r="B5" s="63"/>
      <c r="C5" s="30"/>
      <c r="D5" s="33"/>
      <c r="E5" s="60"/>
      <c r="F5" s="38" t="s">
        <v>11</v>
      </c>
      <c r="G5" s="38"/>
      <c r="H5" s="36">
        <v>20</v>
      </c>
      <c r="I5" s="37"/>
      <c r="J5" s="58"/>
      <c r="K5" s="38" t="s">
        <v>10</v>
      </c>
      <c r="L5" s="38"/>
      <c r="M5" s="36">
        <v>3.75</v>
      </c>
      <c r="N5" s="37"/>
      <c r="O5" s="8"/>
      <c r="P5" s="41"/>
      <c r="S5" s="12"/>
      <c r="T5" s="12"/>
      <c r="U5" s="12"/>
    </row>
    <row r="6" spans="1:21" ht="14.25" customHeight="1" x14ac:dyDescent="0.15">
      <c r="A6" s="30"/>
      <c r="B6" s="63"/>
      <c r="C6" s="30"/>
      <c r="D6" s="33"/>
      <c r="E6" s="60"/>
      <c r="F6" s="36" t="s">
        <v>21</v>
      </c>
      <c r="G6" s="37"/>
      <c r="H6" s="37"/>
      <c r="I6" s="37"/>
      <c r="J6" s="37"/>
      <c r="K6" s="37"/>
      <c r="L6" s="37"/>
      <c r="M6" s="37"/>
      <c r="N6" s="37"/>
      <c r="O6" s="58"/>
      <c r="P6" s="41"/>
      <c r="S6" s="12"/>
      <c r="T6" s="12"/>
      <c r="U6" s="12"/>
    </row>
    <row r="7" spans="1:21" ht="14.25" customHeight="1" x14ac:dyDescent="0.15">
      <c r="A7" s="31"/>
      <c r="B7" s="64"/>
      <c r="C7" s="31"/>
      <c r="D7" s="33"/>
      <c r="E7" s="61"/>
      <c r="F7" s="7">
        <v>1</v>
      </c>
      <c r="G7" s="7">
        <v>2</v>
      </c>
      <c r="H7" s="7">
        <v>3</v>
      </c>
      <c r="I7" s="7">
        <v>4</v>
      </c>
      <c r="J7" s="7">
        <v>5</v>
      </c>
      <c r="K7" s="7">
        <v>6</v>
      </c>
      <c r="L7" s="7">
        <v>7</v>
      </c>
      <c r="M7" s="7">
        <v>8</v>
      </c>
      <c r="N7" s="7">
        <v>9</v>
      </c>
      <c r="O7" s="7">
        <v>10</v>
      </c>
      <c r="P7" s="41"/>
      <c r="S7" s="12"/>
      <c r="T7" s="12"/>
      <c r="U7" s="12"/>
    </row>
    <row r="8" spans="1:21" ht="14.25" customHeight="1" x14ac:dyDescent="0.15">
      <c r="A8" s="20" t="s">
        <v>18</v>
      </c>
      <c r="B8" s="55">
        <v>20</v>
      </c>
      <c r="C8" s="56"/>
      <c r="D8" s="19">
        <v>0.3</v>
      </c>
      <c r="E8" s="18" t="s">
        <v>9</v>
      </c>
      <c r="F8" s="7"/>
      <c r="G8" s="7"/>
      <c r="H8" s="7"/>
      <c r="I8" s="7"/>
      <c r="J8" s="7"/>
      <c r="K8" s="7"/>
      <c r="L8" s="7"/>
      <c r="M8" s="7"/>
      <c r="N8" s="7"/>
      <c r="O8" s="7"/>
      <c r="P8" s="17">
        <f>SUM(F8:O8)</f>
        <v>0</v>
      </c>
      <c r="Q8" s="22">
        <f>D8*IF((100-B8*SUM(F8:O8)*1000/H5)&gt;0,(100-B8*SUM(F8:O8)*1000/H5),0)</f>
        <v>30</v>
      </c>
      <c r="R8" s="15">
        <f>SUM(F8:O8)</f>
        <v>0</v>
      </c>
      <c r="S8" s="12"/>
      <c r="T8" s="12"/>
      <c r="U8" s="12"/>
    </row>
    <row r="9" spans="1:21" ht="14.25" customHeight="1" x14ac:dyDescent="0.15">
      <c r="A9" s="21" t="s">
        <v>22</v>
      </c>
      <c r="B9" s="55">
        <v>20</v>
      </c>
      <c r="C9" s="56"/>
      <c r="D9" s="19">
        <v>0.3</v>
      </c>
      <c r="E9" s="18" t="s">
        <v>9</v>
      </c>
      <c r="F9" s="7"/>
      <c r="G9" s="7"/>
      <c r="H9" s="7"/>
      <c r="I9" s="7"/>
      <c r="J9" s="7"/>
      <c r="K9" s="7"/>
      <c r="L9" s="7"/>
      <c r="M9" s="7"/>
      <c r="N9" s="7"/>
      <c r="O9" s="7"/>
      <c r="P9" s="17">
        <f t="shared" ref="P9:P11" si="0">SUM(F9:O9)</f>
        <v>0</v>
      </c>
      <c r="Q9" s="22">
        <f>D9*IF((100-B9*SUM(F9:O9)*1000/H5)&gt;0,(100-B9*SUM(F9:O9)*1000/H5),0)</f>
        <v>30</v>
      </c>
      <c r="R9" s="15">
        <f t="shared" ref="R9:R11" si="1">SUM(F9:O9)</f>
        <v>0</v>
      </c>
      <c r="S9" s="12"/>
      <c r="T9" s="12"/>
      <c r="U9" s="12"/>
    </row>
    <row r="10" spans="1:21" ht="14.25" customHeight="1" x14ac:dyDescent="0.15">
      <c r="A10" s="21" t="s">
        <v>19</v>
      </c>
      <c r="B10" s="55">
        <v>20</v>
      </c>
      <c r="C10" s="56"/>
      <c r="D10" s="19">
        <v>0.25</v>
      </c>
      <c r="E10" s="18" t="s">
        <v>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17">
        <f t="shared" si="0"/>
        <v>0</v>
      </c>
      <c r="Q10" s="22">
        <f>D10*IF((100-B10*SUM(F10:O10)*1000/H5)&gt;0,(100-B10*SUM(F10:O10)*1000/H5),0)</f>
        <v>25</v>
      </c>
      <c r="R10" s="15">
        <f t="shared" si="1"/>
        <v>0</v>
      </c>
      <c r="S10" s="12"/>
      <c r="T10" s="12"/>
      <c r="U10" s="12"/>
    </row>
    <row r="11" spans="1:21" ht="14.25" customHeight="1" x14ac:dyDescent="0.15">
      <c r="A11" s="21" t="s">
        <v>20</v>
      </c>
      <c r="B11" s="55">
        <v>10</v>
      </c>
      <c r="C11" s="56"/>
      <c r="D11" s="19">
        <v>0.15</v>
      </c>
      <c r="E11" s="18" t="s">
        <v>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17">
        <f t="shared" si="0"/>
        <v>0</v>
      </c>
      <c r="Q11" s="22">
        <f>D11*IF((100-B11*SUM(F11:O11)*1000/H5)&gt;0,(100-B11*SUM(F11:O11)*1000/H5),0)</f>
        <v>15</v>
      </c>
      <c r="R11" s="15">
        <f t="shared" si="1"/>
        <v>0</v>
      </c>
      <c r="S11" s="12"/>
      <c r="T11" s="12"/>
      <c r="U11" s="12"/>
    </row>
    <row r="12" spans="1:21" ht="14.25" customHeight="1" x14ac:dyDescent="0.1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54"/>
      <c r="S12" s="12"/>
      <c r="T12" s="12"/>
      <c r="U12" s="12"/>
    </row>
    <row r="13" spans="1:21" ht="14.25" customHeight="1" x14ac:dyDescent="0.15">
      <c r="A13" s="6" t="s">
        <v>8</v>
      </c>
      <c r="B13" s="44"/>
      <c r="C13" s="44"/>
      <c r="D13" s="44"/>
      <c r="E13" s="45"/>
      <c r="F13" s="50" t="s">
        <v>7</v>
      </c>
      <c r="G13" s="51"/>
      <c r="H13" s="51"/>
      <c r="I13" s="51"/>
      <c r="J13" s="51"/>
      <c r="K13" s="44"/>
      <c r="L13" s="44"/>
      <c r="M13" s="44"/>
      <c r="N13" s="44"/>
      <c r="O13" s="44"/>
      <c r="P13" s="44"/>
      <c r="S13" s="12"/>
      <c r="T13" s="12"/>
      <c r="U13" s="12"/>
    </row>
    <row r="14" spans="1:21" ht="14.25" customHeight="1" x14ac:dyDescent="0.15">
      <c r="A14" s="5" t="s">
        <v>16</v>
      </c>
      <c r="B14" s="4">
        <f>IF((SUM(Q8:Q11))&lt;0,0,SUM(Q8:Q11))</f>
        <v>100</v>
      </c>
      <c r="C14" s="3"/>
      <c r="D14" s="3"/>
      <c r="E14" s="2"/>
      <c r="F14" s="5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23"/>
      <c r="R14" s="16"/>
      <c r="S14" s="13">
        <f>M4</f>
        <v>0</v>
      </c>
      <c r="T14" s="14"/>
      <c r="U14" s="12"/>
    </row>
    <row r="15" spans="1:21" ht="14.25" customHeight="1" x14ac:dyDescent="0.15">
      <c r="A15" s="44"/>
      <c r="B15" s="44"/>
      <c r="C15" s="44"/>
      <c r="D15" s="44"/>
      <c r="E15" s="45"/>
      <c r="F15" s="52"/>
      <c r="G15" s="44"/>
      <c r="H15" s="44"/>
      <c r="I15" s="44"/>
      <c r="J15" s="44"/>
      <c r="K15" s="44"/>
      <c r="L15" s="44"/>
      <c r="M15" s="44"/>
      <c r="N15" s="44"/>
      <c r="O15" s="44"/>
      <c r="P15" s="44"/>
      <c r="S15" s="12"/>
      <c r="T15" s="12"/>
      <c r="U15" s="12"/>
    </row>
    <row r="16" spans="1:21" ht="14.25" customHeight="1" x14ac:dyDescent="0.15">
      <c r="A16" s="44"/>
      <c r="B16" s="44"/>
      <c r="C16" s="44"/>
      <c r="D16" s="44"/>
      <c r="E16" s="45"/>
      <c r="F16" s="52"/>
      <c r="G16" s="44"/>
      <c r="H16" s="44"/>
      <c r="I16" s="44"/>
      <c r="J16" s="44"/>
      <c r="K16" s="44"/>
      <c r="L16" s="44"/>
      <c r="M16" s="44"/>
      <c r="N16" s="44"/>
      <c r="O16" s="44"/>
      <c r="P16" s="44"/>
      <c r="S16" s="12"/>
      <c r="T16" s="12"/>
      <c r="U16" s="12"/>
    </row>
    <row r="17" spans="1:21" ht="14.25" customHeight="1" thickBot="1" x14ac:dyDescent="0.2">
      <c r="A17" s="46"/>
      <c r="B17" s="46"/>
      <c r="C17" s="46"/>
      <c r="D17" s="46"/>
      <c r="E17" s="47"/>
      <c r="F17" s="53"/>
      <c r="G17" s="46"/>
      <c r="H17" s="46"/>
      <c r="I17" s="46"/>
      <c r="J17" s="46"/>
      <c r="K17" s="46"/>
      <c r="L17" s="46"/>
      <c r="M17" s="46"/>
      <c r="N17" s="46"/>
      <c r="O17" s="46"/>
      <c r="P17" s="46"/>
      <c r="S17" s="12"/>
      <c r="T17" s="12"/>
      <c r="U17" s="12"/>
    </row>
  </sheetData>
  <mergeCells count="32">
    <mergeCell ref="B9:C9"/>
    <mergeCell ref="B10:C10"/>
    <mergeCell ref="B11:C11"/>
    <mergeCell ref="H4:J4"/>
    <mergeCell ref="H5:J5"/>
    <mergeCell ref="E4:E7"/>
    <mergeCell ref="B4:C7"/>
    <mergeCell ref="B8:C8"/>
    <mergeCell ref="F6:O6"/>
    <mergeCell ref="A15:E17"/>
    <mergeCell ref="A12:E12"/>
    <mergeCell ref="F13:J13"/>
    <mergeCell ref="F14:P17"/>
    <mergeCell ref="K13:P13"/>
    <mergeCell ref="F12:P12"/>
    <mergeCell ref="B13:E13"/>
    <mergeCell ref="A1:P2"/>
    <mergeCell ref="H3:J3"/>
    <mergeCell ref="A4:A7"/>
    <mergeCell ref="D4:D7"/>
    <mergeCell ref="M3:N3"/>
    <mergeCell ref="M5:N5"/>
    <mergeCell ref="B3:C3"/>
    <mergeCell ref="F4:G4"/>
    <mergeCell ref="F3:G3"/>
    <mergeCell ref="K3:L3"/>
    <mergeCell ref="D3:E3"/>
    <mergeCell ref="P4:P7"/>
    <mergeCell ref="F5:G5"/>
    <mergeCell ref="K4:L4"/>
    <mergeCell ref="M4:N4"/>
    <mergeCell ref="K5:L5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路基损坏调查表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2024-06-28T03:02:51Z</dcterms:modified>
</cp:coreProperties>
</file>