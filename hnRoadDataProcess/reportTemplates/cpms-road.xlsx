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showInkAnnotation="0"/>
  <mc:AlternateContent xmlns:mc="http://schemas.openxmlformats.org/markup-compatibility/2006">
    <mc:Choice Requires="x15">
      <x15ac:absPath xmlns:x15ac="http://schemas.microsoft.com/office/spreadsheetml/2010/11/ac" url="D:\0XR\code\XRDataProcess List\XRDataProcess\Output\报表模板\等级公路 JTG H20-2018\"/>
    </mc:Choice>
  </mc:AlternateContent>
  <xr:revisionPtr revIDLastSave="0" documentId="13_ncr:1_{EDE8ECA3-5F14-4C4F-ACD4-2B24F205AEE3}" xr6:coauthVersionLast="45" xr6:coauthVersionMax="45" xr10:uidLastSave="{00000000-0000-0000-0000-000000000000}"/>
  <bookViews>
    <workbookView xWindow="885" yWindow="1650" windowWidth="21600" windowHeight="11385" xr2:uid="{00000000-000D-0000-FFFF-FFFF00000000}"/>
  </bookViews>
  <sheets>
    <sheet name="沥青路面损坏调查表" sheetId="7" r:id="rId1"/>
    <sheet name="水泥路面损坏调查表" sheetId="8" r:id="rId2"/>
  </sheets>
  <definedNames>
    <definedName name="_xlnm._FilterDatabase" localSheetId="0" hidden="1">沥青路面损坏调查表!$Q$2:$Q$31</definedName>
  </definedNames>
  <calcPr calcId="191029"/>
</workbook>
</file>

<file path=xl/calcChain.xml><?xml version="1.0" encoding="utf-8"?>
<calcChain xmlns="http://schemas.openxmlformats.org/spreadsheetml/2006/main">
  <c r="C30" i="7" l="1"/>
  <c r="C29" i="8"/>
  <c r="R21" i="8" l="1"/>
  <c r="R20" i="8"/>
  <c r="R19" i="8"/>
  <c r="R18" i="8"/>
  <c r="R16" i="8"/>
  <c r="R11" i="8"/>
  <c r="R10" i="8"/>
  <c r="R9" i="8"/>
  <c r="R8" i="8"/>
  <c r="R12" i="8"/>
  <c r="R13" i="8"/>
  <c r="P8" i="8"/>
  <c r="P9" i="8"/>
  <c r="P10" i="8"/>
  <c r="P11" i="8"/>
  <c r="P12" i="8"/>
  <c r="P13" i="8"/>
  <c r="P14" i="8"/>
  <c r="R14" i="8" s="1"/>
  <c r="P15" i="8"/>
  <c r="R15" i="8" s="1"/>
  <c r="P16" i="8"/>
  <c r="P17" i="8"/>
  <c r="R17" i="8" s="1"/>
  <c r="P18" i="8"/>
  <c r="P19" i="8"/>
  <c r="P20" i="8"/>
  <c r="P21" i="8"/>
  <c r="P22" i="8"/>
  <c r="R22" i="8" s="1"/>
  <c r="P23" i="8"/>
  <c r="R23" i="8" s="1"/>
  <c r="P24" i="8"/>
  <c r="R24" i="8" s="1"/>
  <c r="P25" i="8"/>
  <c r="R25" i="8" s="1"/>
  <c r="P26" i="8"/>
  <c r="R26" i="8" s="1"/>
  <c r="P27" i="8"/>
  <c r="R27" i="8" s="1"/>
  <c r="R27" i="7"/>
  <c r="R13" i="7"/>
  <c r="R12" i="7"/>
  <c r="P27" i="7"/>
  <c r="P12" i="7"/>
  <c r="P13" i="7"/>
  <c r="P7" i="8" l="1"/>
  <c r="R7" i="8" s="1"/>
  <c r="H5" i="8"/>
  <c r="P28" i="7" l="1"/>
  <c r="R28" i="7" s="1"/>
  <c r="P26" i="7"/>
  <c r="R26" i="7" s="1"/>
  <c r="P21" i="7"/>
  <c r="R21" i="7" s="1"/>
  <c r="P20" i="7"/>
  <c r="R20" i="7" s="1"/>
  <c r="P19" i="7"/>
  <c r="R19" i="7" s="1"/>
  <c r="P18" i="7"/>
  <c r="R18" i="7" s="1"/>
  <c r="P17" i="7"/>
  <c r="R17" i="7" s="1"/>
  <c r="P16" i="7"/>
  <c r="R16" i="7" s="1"/>
  <c r="P25" i="7"/>
  <c r="R25" i="7" s="1"/>
  <c r="P24" i="7"/>
  <c r="R24" i="7" s="1"/>
  <c r="P23" i="7"/>
  <c r="R23" i="7" s="1"/>
  <c r="P22" i="7"/>
  <c r="R22" i="7" s="1"/>
  <c r="P15" i="7"/>
  <c r="R15" i="7" s="1"/>
  <c r="P14" i="7"/>
  <c r="R14" i="7" s="1"/>
  <c r="P11" i="7"/>
  <c r="R11" i="7" s="1"/>
  <c r="P10" i="7"/>
  <c r="R10" i="7" s="1"/>
  <c r="P9" i="7"/>
  <c r="R9" i="7" s="1"/>
  <c r="P8" i="7"/>
  <c r="R8" i="7" s="1"/>
  <c r="P7" i="7"/>
  <c r="R7" i="7" s="1"/>
  <c r="H5" i="7"/>
  <c r="C31" i="7" l="1"/>
  <c r="A29" i="7" s="1"/>
  <c r="Q30" i="8"/>
  <c r="C30" i="8"/>
  <c r="A28" i="8" s="1"/>
  <c r="Q31" i="7"/>
</calcChain>
</file>

<file path=xl/sharedStrings.xml><?xml version="1.0" encoding="utf-8"?>
<sst xmlns="http://schemas.openxmlformats.org/spreadsheetml/2006/main" count="123" uniqueCount="67">
  <si>
    <t>轻</t>
    <phoneticPr fontId="2" type="noConversion"/>
  </si>
  <si>
    <t>破碎板</t>
  </si>
  <si>
    <t>轻</t>
  </si>
  <si>
    <t>重</t>
  </si>
  <si>
    <t>中</t>
  </si>
  <si>
    <t>修补</t>
  </si>
  <si>
    <t>龟裂</t>
  </si>
  <si>
    <t>块状裂缝</t>
  </si>
  <si>
    <t>纵向裂缝</t>
  </si>
  <si>
    <t>横向裂缝</t>
  </si>
  <si>
    <t>坑槽</t>
  </si>
  <si>
    <t>松散</t>
  </si>
  <si>
    <t>沉陷</t>
  </si>
  <si>
    <t>车辙</t>
  </si>
  <si>
    <t>波浪拥包</t>
  </si>
  <si>
    <t>泛油</t>
  </si>
  <si>
    <t>沥青路面损坏调查表</t>
    <phoneticPr fontId="2" type="noConversion"/>
  </si>
  <si>
    <t>调查方向：</t>
    <phoneticPr fontId="2" type="noConversion"/>
  </si>
  <si>
    <t>调查时间：</t>
    <phoneticPr fontId="2" type="noConversion"/>
  </si>
  <si>
    <t>调查内容</t>
    <phoneticPr fontId="2" type="noConversion"/>
  </si>
  <si>
    <t>程度</t>
  </si>
  <si>
    <t>权重Wi</t>
  </si>
  <si>
    <t>单位</t>
  </si>
  <si>
    <t>起点桩号：</t>
    <phoneticPr fontId="2" type="noConversion"/>
  </si>
  <si>
    <t xml:space="preserve">     终点桩号：</t>
    <phoneticPr fontId="2" type="noConversion"/>
  </si>
  <si>
    <t>累计损坏</t>
  </si>
  <si>
    <t>路段长度(m)：</t>
    <phoneticPr fontId="2" type="noConversion"/>
  </si>
  <si>
    <t xml:space="preserve">      路面宽度(m)：</t>
    <phoneticPr fontId="2" type="noConversion"/>
  </si>
  <si>
    <r>
      <t>m</t>
    </r>
    <r>
      <rPr>
        <vertAlign val="superscript"/>
        <sz val="10"/>
        <rFont val="仿宋_GB2312"/>
        <family val="3"/>
        <charset val="134"/>
      </rPr>
      <t>2</t>
    </r>
    <phoneticPr fontId="2" type="noConversion"/>
  </si>
  <si>
    <t>---</t>
    <phoneticPr fontId="2" type="noConversion"/>
  </si>
  <si>
    <t>DR=</t>
  </si>
  <si>
    <t>%</t>
    <phoneticPr fontId="2" type="noConversion"/>
  </si>
  <si>
    <t>PCI=</t>
  </si>
  <si>
    <t>水泥混凝土路面损坏调查表</t>
  </si>
  <si>
    <t>调查方向：</t>
    <phoneticPr fontId="2" type="noConversion"/>
  </si>
  <si>
    <t>调查时间：</t>
    <phoneticPr fontId="2" type="noConversion"/>
  </si>
  <si>
    <t>调查内容</t>
  </si>
  <si>
    <t>起点桩号：</t>
    <phoneticPr fontId="2" type="noConversion"/>
  </si>
  <si>
    <t xml:space="preserve">     终点桩号：</t>
    <phoneticPr fontId="2" type="noConversion"/>
  </si>
  <si>
    <t>路段长度(m)：</t>
    <phoneticPr fontId="2" type="noConversion"/>
  </si>
  <si>
    <t xml:space="preserve">      路面宽度(m)：</t>
    <phoneticPr fontId="2" type="noConversion"/>
  </si>
  <si>
    <r>
      <t>m</t>
    </r>
    <r>
      <rPr>
        <vertAlign val="superscript"/>
        <sz val="10"/>
        <rFont val="宋体"/>
        <family val="3"/>
        <charset val="134"/>
      </rPr>
      <t>2</t>
    </r>
    <phoneticPr fontId="2" type="noConversion"/>
  </si>
  <si>
    <t>重</t>
    <phoneticPr fontId="2" type="noConversion"/>
  </si>
  <si>
    <t>裂缝</t>
    <phoneticPr fontId="2" type="noConversion"/>
  </si>
  <si>
    <t>中</t>
    <phoneticPr fontId="2" type="noConversion"/>
  </si>
  <si>
    <t>板角裂缝</t>
    <phoneticPr fontId="2" type="noConversion"/>
  </si>
  <si>
    <t>轻</t>
    <phoneticPr fontId="2" type="noConversion"/>
  </si>
  <si>
    <r>
      <t>m</t>
    </r>
    <r>
      <rPr>
        <vertAlign val="superscript"/>
        <sz val="10"/>
        <rFont val="宋体"/>
        <family val="3"/>
        <charset val="134"/>
      </rPr>
      <t>2</t>
    </r>
    <phoneticPr fontId="2" type="noConversion"/>
  </si>
  <si>
    <t>重</t>
    <phoneticPr fontId="2" type="noConversion"/>
  </si>
  <si>
    <t>错台</t>
    <phoneticPr fontId="2" type="noConversion"/>
  </si>
  <si>
    <t>---</t>
    <phoneticPr fontId="2" type="noConversion"/>
  </si>
  <si>
    <t>边角剥落</t>
    <phoneticPr fontId="2" type="noConversion"/>
  </si>
  <si>
    <t>接缝料损坏</t>
    <phoneticPr fontId="2" type="noConversion"/>
  </si>
  <si>
    <t>坑洞</t>
    <phoneticPr fontId="2" type="noConversion"/>
  </si>
  <si>
    <t>拱起</t>
    <phoneticPr fontId="2" type="noConversion"/>
  </si>
  <si>
    <t>露骨</t>
    <phoneticPr fontId="2" type="noConversion"/>
  </si>
  <si>
    <t>修补</t>
    <phoneticPr fontId="2" type="noConversion"/>
  </si>
  <si>
    <t>%</t>
    <phoneticPr fontId="2" type="noConversion"/>
  </si>
  <si>
    <t>唧泥</t>
    <phoneticPr fontId="2" type="noConversion"/>
  </si>
  <si>
    <t>路线代码名称：</t>
  </si>
  <si>
    <t>路线代码名称：</t>
    <phoneticPr fontId="2" type="noConversion"/>
  </si>
  <si>
    <t>计算方法：依据JTG 5210-2018《公路技术状况评定标准》中公式7.4.5-1和公式7.4.5-2计算得出。</t>
    <phoneticPr fontId="2" type="noConversion"/>
  </si>
  <si>
    <t>m</t>
    <phoneticPr fontId="2" type="noConversion"/>
  </si>
  <si>
    <r>
      <t>m</t>
    </r>
    <r>
      <rPr>
        <vertAlign val="superscript"/>
        <sz val="10"/>
        <rFont val="仿宋_GB2312"/>
        <family val="3"/>
        <charset val="134"/>
      </rPr>
      <t>2</t>
    </r>
    <phoneticPr fontId="2" type="noConversion"/>
  </si>
  <si>
    <t>条状m</t>
    <phoneticPr fontId="2" type="noConversion"/>
  </si>
  <si>
    <r>
      <t>块状m</t>
    </r>
    <r>
      <rPr>
        <vertAlign val="superscript"/>
        <sz val="10"/>
        <rFont val="仿宋_GB2312"/>
        <family val="3"/>
        <charset val="134"/>
      </rPr>
      <t>2</t>
    </r>
    <phoneticPr fontId="2" type="noConversion"/>
  </si>
  <si>
    <r>
      <t>块状m</t>
    </r>
    <r>
      <rPr>
        <vertAlign val="superscript"/>
        <sz val="10"/>
        <rFont val="宋体"/>
        <family val="3"/>
        <charset val="134"/>
      </rPr>
      <t>2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</si>
</sst>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\K0\+000"/>
    <numFmt numFmtId="177" formatCode="0.00_ "/>
    <numFmt numFmtId="178" formatCode="0000&quot;年&quot;00&quot;月&quot;00&quot;日&quot;"/>
    <numFmt numFmtId="179" formatCode="0.000_ "/>
    <numFmt numFmtId="180" formatCode="[$-F800]dddd\,\ mmmm\ dd\,\ yyyy"/>
    <numFmt numFmtId="181" formatCode="0.000_);[Red]\(0.000\)"/>
    <numFmt numFmtId="182" formatCode="0_);[Red]\(0\)"/>
    <numFmt numFmtId="183" formatCode="0.0_ "/>
    <numFmt numFmtId="184" formatCode="0.000"/>
    <numFmt numFmtId="185" formatCode="0.0"/>
  </numFmts>
  <fonts count="1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6"/>
      <name val="宋体"/>
      <family val="3"/>
      <charset val="134"/>
    </font>
    <font>
      <sz val="10"/>
      <name val="宋体"/>
      <family val="3"/>
      <charset val="134"/>
    </font>
    <font>
      <sz val="10"/>
      <name val="仿宋_GB2312"/>
      <family val="3"/>
      <charset val="134"/>
    </font>
    <font>
      <vertAlign val="superscript"/>
      <sz val="10"/>
      <name val="仿宋_GB2312"/>
      <family val="3"/>
      <charset val="134"/>
    </font>
    <font>
      <sz val="10"/>
      <name val="仿宋"/>
      <family val="3"/>
      <charset val="134"/>
    </font>
    <font>
      <sz val="9"/>
      <name val="仿宋"/>
      <family val="3"/>
      <charset val="134"/>
    </font>
    <font>
      <vertAlign val="superscript"/>
      <sz val="10"/>
      <name val="宋体"/>
      <family val="3"/>
      <charset val="134"/>
    </font>
    <font>
      <sz val="12"/>
      <color theme="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150">
    <xf numFmtId="0" fontId="0" fillId="0" borderId="0" xfId="0">
      <alignment vertical="center"/>
    </xf>
    <xf numFmtId="0" fontId="1" fillId="0" borderId="0" xfId="2" applyFont="1"/>
    <xf numFmtId="0" fontId="1" fillId="0" borderId="0" xfId="1" applyFont="1">
      <alignment vertical="center"/>
    </xf>
    <xf numFmtId="0" fontId="4" fillId="0" borderId="3" xfId="1" applyFont="1" applyBorder="1" applyAlignment="1" applyProtection="1">
      <alignment horizontal="left" vertical="center" wrapText="1"/>
      <protection locked="0"/>
    </xf>
    <xf numFmtId="0" fontId="4" fillId="0" borderId="1" xfId="1" applyFont="1" applyBorder="1" applyAlignment="1" applyProtection="1">
      <alignment horizontal="left" vertical="center" wrapText="1"/>
    </xf>
    <xf numFmtId="0" fontId="4" fillId="0" borderId="3" xfId="1" applyFont="1" applyBorder="1" applyAlignment="1" applyProtection="1">
      <alignment vertical="center"/>
      <protection locked="0"/>
    </xf>
    <xf numFmtId="0" fontId="4" fillId="2" borderId="8" xfId="1" applyFont="1" applyFill="1" applyBorder="1" applyAlignment="1" applyProtection="1">
      <alignment vertical="center"/>
    </xf>
    <xf numFmtId="0" fontId="4" fillId="0" borderId="1" xfId="1" applyFont="1" applyBorder="1" applyAlignment="1" applyProtection="1">
      <alignment vertical="center"/>
      <protection locked="0"/>
    </xf>
    <xf numFmtId="0" fontId="4" fillId="0" borderId="2" xfId="1" applyFont="1" applyBorder="1" applyAlignment="1" applyProtection="1">
      <alignment horizontal="center" vertical="center"/>
      <protection locked="0"/>
    </xf>
    <xf numFmtId="179" fontId="5" fillId="0" borderId="2" xfId="1" applyNumberFormat="1" applyFont="1" applyBorder="1" applyAlignment="1" applyProtection="1">
      <alignment horizontal="center" vertical="center"/>
      <protection locked="0"/>
    </xf>
    <xf numFmtId="183" fontId="5" fillId="0" borderId="2" xfId="1" applyNumberFormat="1" applyFont="1" applyBorder="1" applyAlignment="1">
      <alignment horizontal="center" vertical="center"/>
    </xf>
    <xf numFmtId="179" fontId="7" fillId="0" borderId="2" xfId="2" applyNumberFormat="1" applyFont="1" applyBorder="1" applyAlignment="1" applyProtection="1">
      <alignment horizontal="center" vertical="center"/>
      <protection locked="0"/>
    </xf>
    <xf numFmtId="181" fontId="5" fillId="0" borderId="2" xfId="1" applyNumberFormat="1" applyFont="1" applyBorder="1" applyAlignment="1" applyProtection="1">
      <alignment horizontal="center" vertical="center"/>
    </xf>
    <xf numFmtId="179" fontId="8" fillId="0" borderId="2" xfId="2" applyNumberFormat="1" applyFont="1" applyBorder="1" applyAlignment="1" applyProtection="1">
      <alignment horizontal="center" vertical="center"/>
      <protection locked="0"/>
    </xf>
    <xf numFmtId="179" fontId="5" fillId="0" borderId="2" xfId="1" quotePrefix="1" applyNumberFormat="1" applyFont="1" applyBorder="1" applyAlignment="1" applyProtection="1">
      <alignment horizontal="center" vertical="center"/>
      <protection locked="0"/>
    </xf>
    <xf numFmtId="0" fontId="5" fillId="0" borderId="2" xfId="1" applyFont="1" applyBorder="1" applyAlignment="1" applyProtection="1">
      <alignment horizontal="center" vertical="center"/>
      <protection locked="0"/>
    </xf>
    <xf numFmtId="184" fontId="1" fillId="0" borderId="0" xfId="1" applyNumberFormat="1" applyFont="1">
      <alignment vertical="center"/>
    </xf>
    <xf numFmtId="185" fontId="1" fillId="0" borderId="0" xfId="1" applyNumberFormat="1" applyFont="1">
      <alignment vertical="center"/>
    </xf>
    <xf numFmtId="181" fontId="1" fillId="0" borderId="0" xfId="1" applyNumberFormat="1" applyFont="1">
      <alignment vertical="center"/>
    </xf>
    <xf numFmtId="0" fontId="1" fillId="0" borderId="0" xfId="5" applyFont="1">
      <alignment vertical="center"/>
    </xf>
    <xf numFmtId="0" fontId="2" fillId="0" borderId="3" xfId="5" applyFont="1" applyBorder="1" applyAlignment="1" applyProtection="1">
      <alignment horizontal="left" vertical="center" wrapText="1"/>
      <protection locked="0"/>
    </xf>
    <xf numFmtId="0" fontId="4" fillId="0" borderId="1" xfId="5" applyFont="1" applyBorder="1" applyAlignment="1" applyProtection="1">
      <alignment horizontal="left" vertical="center" wrapText="1"/>
    </xf>
    <xf numFmtId="0" fontId="4" fillId="0" borderId="3" xfId="5" applyFont="1" applyBorder="1" applyAlignment="1" applyProtection="1">
      <alignment vertical="center"/>
      <protection locked="0"/>
    </xf>
    <xf numFmtId="0" fontId="4" fillId="0" borderId="8" xfId="5" applyFont="1" applyBorder="1" applyAlignment="1" applyProtection="1">
      <alignment vertical="center"/>
    </xf>
    <xf numFmtId="0" fontId="4" fillId="0" borderId="1" xfId="5" applyFont="1" applyBorder="1" applyAlignment="1" applyProtection="1">
      <alignment vertical="center"/>
      <protection locked="0"/>
    </xf>
    <xf numFmtId="0" fontId="4" fillId="0" borderId="2" xfId="5" applyFont="1" applyBorder="1" applyAlignment="1" applyProtection="1">
      <alignment horizontal="center" vertical="center"/>
      <protection locked="0"/>
    </xf>
    <xf numFmtId="179" fontId="4" fillId="0" borderId="2" xfId="3" applyNumberFormat="1" applyFont="1" applyBorder="1" applyAlignment="1" applyProtection="1">
      <alignment horizontal="center" vertical="center"/>
      <protection locked="0"/>
    </xf>
    <xf numFmtId="183" fontId="4" fillId="0" borderId="2" xfId="3" applyNumberFormat="1" applyFont="1" applyBorder="1" applyAlignment="1">
      <alignment horizontal="center" vertical="center"/>
    </xf>
    <xf numFmtId="179" fontId="5" fillId="0" borderId="2" xfId="3" applyNumberFormat="1" applyFont="1" applyBorder="1" applyAlignment="1" applyProtection="1">
      <alignment horizontal="center" vertical="center"/>
      <protection locked="0"/>
    </xf>
    <xf numFmtId="179" fontId="5" fillId="0" borderId="2" xfId="5" applyNumberFormat="1" applyFont="1" applyBorder="1" applyAlignment="1" applyProtection="1">
      <alignment horizontal="center" vertical="center"/>
    </xf>
    <xf numFmtId="177" fontId="1" fillId="0" borderId="0" xfId="5" applyNumberFormat="1" applyFont="1">
      <alignment vertical="center"/>
    </xf>
    <xf numFmtId="179" fontId="4" fillId="0" borderId="2" xfId="5" quotePrefix="1" applyNumberFormat="1" applyFont="1" applyBorder="1" applyAlignment="1" applyProtection="1">
      <alignment horizontal="center" vertical="center"/>
      <protection locked="0"/>
    </xf>
    <xf numFmtId="183" fontId="4" fillId="0" borderId="5" xfId="3" applyNumberFormat="1" applyFont="1" applyBorder="1" applyAlignment="1">
      <alignment horizontal="center" vertical="center"/>
    </xf>
    <xf numFmtId="0" fontId="4" fillId="0" borderId="2" xfId="3" applyFont="1" applyBorder="1" applyAlignment="1" applyProtection="1">
      <alignment horizontal="center" vertical="center"/>
      <protection locked="0"/>
    </xf>
    <xf numFmtId="0" fontId="4" fillId="0" borderId="5" xfId="3" applyFont="1" applyBorder="1" applyAlignment="1" applyProtection="1">
      <alignment horizontal="center" vertical="center"/>
      <protection locked="0"/>
    </xf>
    <xf numFmtId="185" fontId="1" fillId="0" borderId="0" xfId="5" applyNumberFormat="1" applyFont="1">
      <alignment vertical="center"/>
    </xf>
    <xf numFmtId="181" fontId="1" fillId="0" borderId="0" xfId="5" applyNumberFormat="1" applyFont="1">
      <alignment vertical="center"/>
    </xf>
    <xf numFmtId="179" fontId="5" fillId="0" borderId="0" xfId="1" applyNumberFormat="1" applyFont="1" applyBorder="1" applyAlignment="1" applyProtection="1">
      <alignment horizontal="left" vertical="center"/>
    </xf>
    <xf numFmtId="179" fontId="4" fillId="0" borderId="0" xfId="1" applyNumberFormat="1" applyFont="1" applyBorder="1" applyAlignment="1" applyProtection="1">
      <alignment horizontal="left" vertical="center"/>
    </xf>
    <xf numFmtId="0" fontId="5" fillId="0" borderId="2" xfId="1" applyFont="1" applyBorder="1" applyAlignment="1" applyProtection="1">
      <alignment horizontal="center" vertical="center"/>
      <protection locked="0"/>
    </xf>
    <xf numFmtId="0" fontId="4" fillId="0" borderId="2" xfId="3" applyFont="1" applyBorder="1" applyAlignment="1" applyProtection="1">
      <alignment horizontal="center" vertical="center"/>
      <protection locked="0"/>
    </xf>
    <xf numFmtId="0" fontId="10" fillId="0" borderId="0" xfId="1" applyFont="1" applyFill="1">
      <alignment vertical="center"/>
    </xf>
    <xf numFmtId="181" fontId="10" fillId="0" borderId="0" xfId="1" applyNumberFormat="1" applyFont="1" applyFill="1">
      <alignment vertical="center"/>
    </xf>
    <xf numFmtId="183" fontId="10" fillId="0" borderId="0" xfId="1" applyNumberFormat="1" applyFont="1" applyFill="1">
      <alignment vertical="center"/>
    </xf>
    <xf numFmtId="0" fontId="10" fillId="0" borderId="0" xfId="5" applyFont="1" applyFill="1" applyAlignment="1">
      <alignment horizontal="center" vertical="center"/>
    </xf>
    <xf numFmtId="183" fontId="10" fillId="0" borderId="0" xfId="5" applyNumberFormat="1" applyFont="1" applyFill="1" applyAlignment="1">
      <alignment horizontal="center" vertical="center"/>
    </xf>
    <xf numFmtId="0" fontId="5" fillId="0" borderId="3" xfId="1" applyFont="1" applyBorder="1" applyAlignment="1" applyProtection="1">
      <alignment horizontal="center" vertical="center"/>
      <protection locked="0"/>
    </xf>
    <xf numFmtId="0" fontId="5" fillId="0" borderId="1" xfId="1" applyFont="1" applyBorder="1" applyAlignment="1" applyProtection="1">
      <alignment horizontal="center" vertical="center"/>
      <protection locked="0"/>
    </xf>
    <xf numFmtId="0" fontId="5" fillId="0" borderId="9" xfId="1" applyFont="1" applyBorder="1" applyAlignment="1" applyProtection="1">
      <alignment horizontal="center" vertical="center"/>
      <protection locked="0"/>
    </xf>
    <xf numFmtId="0" fontId="5" fillId="0" borderId="7" xfId="1" applyFont="1" applyBorder="1" applyAlignment="1" applyProtection="1">
      <alignment horizontal="center" vertical="center"/>
      <protection locked="0"/>
    </xf>
    <xf numFmtId="0" fontId="5" fillId="0" borderId="10" xfId="1" applyFont="1" applyBorder="1" applyAlignment="1" applyProtection="1">
      <alignment horizontal="center" vertical="center"/>
      <protection locked="0"/>
    </xf>
    <xf numFmtId="0" fontId="5" fillId="0" borderId="9" xfId="1" applyFont="1" applyBorder="1" applyAlignment="1" applyProtection="1">
      <alignment horizontal="left" vertical="center" wrapText="1"/>
      <protection locked="0"/>
    </xf>
    <xf numFmtId="0" fontId="5" fillId="0" borderId="7" xfId="1" applyFont="1" applyBorder="1" applyAlignment="1" applyProtection="1">
      <alignment horizontal="left" vertical="center" wrapText="1"/>
      <protection locked="0"/>
    </xf>
    <xf numFmtId="0" fontId="5" fillId="0" borderId="10" xfId="1" applyFont="1" applyBorder="1" applyAlignment="1" applyProtection="1">
      <alignment horizontal="left" vertical="center" wrapText="1"/>
      <protection locked="0"/>
    </xf>
    <xf numFmtId="0" fontId="5" fillId="0" borderId="11" xfId="1" applyFont="1" applyBorder="1" applyAlignment="1" applyProtection="1">
      <alignment horizontal="left" vertical="center" wrapText="1"/>
      <protection locked="0"/>
    </xf>
    <xf numFmtId="0" fontId="5" fillId="0" borderId="0" xfId="1" applyFont="1" applyBorder="1" applyAlignment="1" applyProtection="1">
      <alignment horizontal="left" vertical="center" wrapText="1"/>
      <protection locked="0"/>
    </xf>
    <xf numFmtId="0" fontId="5" fillId="0" borderId="12" xfId="1" applyFont="1" applyBorder="1" applyAlignment="1" applyProtection="1">
      <alignment horizontal="left" vertical="center" wrapText="1"/>
      <protection locked="0"/>
    </xf>
    <xf numFmtId="0" fontId="5" fillId="0" borderId="14" xfId="1" applyFont="1" applyBorder="1" applyAlignment="1" applyProtection="1">
      <alignment horizontal="left" vertical="center" wrapText="1"/>
      <protection locked="0"/>
    </xf>
    <xf numFmtId="0" fontId="5" fillId="0" borderId="4" xfId="1" applyFont="1" applyBorder="1" applyAlignment="1" applyProtection="1">
      <alignment horizontal="left" vertical="center" wrapText="1"/>
      <protection locked="0"/>
    </xf>
    <xf numFmtId="0" fontId="5" fillId="0" borderId="15" xfId="1" applyFont="1" applyBorder="1" applyAlignment="1" applyProtection="1">
      <alignment horizontal="left" vertical="center" wrapText="1"/>
      <protection locked="0"/>
    </xf>
    <xf numFmtId="0" fontId="5" fillId="0" borderId="11" xfId="1" applyFont="1" applyBorder="1" applyAlignment="1" applyProtection="1">
      <alignment horizontal="right" vertical="center"/>
      <protection locked="0"/>
    </xf>
    <xf numFmtId="0" fontId="5" fillId="0" borderId="0" xfId="1" applyFont="1" applyBorder="1" applyAlignment="1" applyProtection="1">
      <alignment horizontal="right" vertical="center"/>
      <protection locked="0"/>
    </xf>
    <xf numFmtId="0" fontId="5" fillId="0" borderId="0" xfId="1" applyFont="1" applyBorder="1" applyAlignment="1" applyProtection="1">
      <alignment horizontal="left" vertical="center"/>
      <protection locked="0"/>
    </xf>
    <xf numFmtId="0" fontId="5" fillId="0" borderId="12" xfId="1" applyFont="1" applyBorder="1" applyAlignment="1" applyProtection="1">
      <alignment horizontal="left" vertical="center"/>
      <protection locked="0"/>
    </xf>
    <xf numFmtId="0" fontId="5" fillId="0" borderId="14" xfId="1" applyFont="1" applyBorder="1" applyAlignment="1" applyProtection="1">
      <alignment horizontal="right" vertical="center"/>
      <protection locked="0"/>
    </xf>
    <xf numFmtId="0" fontId="5" fillId="0" borderId="4" xfId="1" applyFont="1" applyBorder="1" applyAlignment="1" applyProtection="1">
      <alignment horizontal="right" vertical="center"/>
      <protection locked="0"/>
    </xf>
    <xf numFmtId="177" fontId="5" fillId="0" borderId="4" xfId="1" applyNumberFormat="1" applyFont="1" applyBorder="1" applyAlignment="1" applyProtection="1">
      <alignment horizontal="left" vertical="center"/>
    </xf>
    <xf numFmtId="177" fontId="5" fillId="0" borderId="15" xfId="1" applyNumberFormat="1" applyFont="1" applyBorder="1" applyAlignment="1" applyProtection="1">
      <alignment horizontal="left" vertical="center"/>
    </xf>
    <xf numFmtId="0" fontId="5" fillId="0" borderId="14" xfId="1" applyFont="1" applyBorder="1" applyAlignment="1" applyProtection="1">
      <alignment horizontal="center" vertical="center"/>
      <protection locked="0"/>
    </xf>
    <xf numFmtId="0" fontId="5" fillId="0" borderId="15" xfId="1" applyFont="1" applyBorder="1" applyAlignment="1" applyProtection="1">
      <alignment horizontal="center" vertical="center"/>
      <protection locked="0"/>
    </xf>
    <xf numFmtId="179" fontId="5" fillId="0" borderId="5" xfId="1" quotePrefix="1" applyNumberFormat="1" applyFont="1" applyBorder="1" applyAlignment="1" applyProtection="1">
      <alignment horizontal="center" vertical="center"/>
      <protection locked="0"/>
    </xf>
    <xf numFmtId="179" fontId="5" fillId="0" borderId="6" xfId="1" quotePrefix="1" applyNumberFormat="1" applyFont="1" applyBorder="1" applyAlignment="1" applyProtection="1">
      <alignment horizontal="center" vertical="center"/>
      <protection locked="0"/>
    </xf>
    <xf numFmtId="183" fontId="5" fillId="0" borderId="5" xfId="1" applyNumberFormat="1" applyFont="1" applyBorder="1" applyAlignment="1">
      <alignment horizontal="center" vertical="center"/>
    </xf>
    <xf numFmtId="183" fontId="5" fillId="0" borderId="6" xfId="1" applyNumberFormat="1" applyFont="1" applyBorder="1" applyAlignment="1">
      <alignment horizontal="center" vertical="center"/>
    </xf>
    <xf numFmtId="0" fontId="5" fillId="0" borderId="2" xfId="1" applyFont="1" applyBorder="1" applyAlignment="1" applyProtection="1">
      <alignment horizontal="center" vertical="center"/>
      <protection locked="0"/>
    </xf>
    <xf numFmtId="0" fontId="5" fillId="0" borderId="11" xfId="1" applyFont="1" applyBorder="1" applyAlignment="1" applyProtection="1">
      <alignment horizontal="center" vertical="center"/>
      <protection locked="0"/>
    </xf>
    <xf numFmtId="0" fontId="5" fillId="0" borderId="12" xfId="1" applyFont="1" applyBorder="1" applyAlignment="1" applyProtection="1">
      <alignment horizontal="center" vertical="center"/>
      <protection locked="0"/>
    </xf>
    <xf numFmtId="0" fontId="3" fillId="0" borderId="0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4" fillId="0" borderId="3" xfId="1" applyFont="1" applyBorder="1" applyAlignment="1" applyProtection="1">
      <alignment horizontal="right" vertical="center"/>
      <protection locked="0"/>
    </xf>
    <xf numFmtId="0" fontId="4" fillId="0" borderId="8" xfId="1" applyFont="1" applyBorder="1" applyAlignment="1" applyProtection="1">
      <alignment horizontal="right" vertical="center"/>
      <protection locked="0"/>
    </xf>
    <xf numFmtId="178" fontId="4" fillId="0" borderId="8" xfId="1" applyNumberFormat="1" applyFont="1" applyBorder="1" applyAlignment="1" applyProtection="1">
      <alignment horizontal="left" vertical="center"/>
    </xf>
    <xf numFmtId="178" fontId="4" fillId="0" borderId="1" xfId="1" applyNumberFormat="1" applyFont="1" applyBorder="1" applyAlignment="1" applyProtection="1">
      <alignment horizontal="left" vertical="center"/>
    </xf>
    <xf numFmtId="0" fontId="4" fillId="0" borderId="9" xfId="1" applyFont="1" applyBorder="1" applyAlignment="1" applyProtection="1">
      <alignment horizontal="center" vertical="center"/>
      <protection locked="0"/>
    </xf>
    <xf numFmtId="0" fontId="4" fillId="0" borderId="10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/>
      <protection locked="0"/>
    </xf>
    <xf numFmtId="0" fontId="4" fillId="0" borderId="14" xfId="1" applyFont="1" applyBorder="1" applyAlignment="1" applyProtection="1">
      <alignment horizontal="center" vertical="center"/>
      <protection locked="0"/>
    </xf>
    <xf numFmtId="0" fontId="4" fillId="0" borderId="15" xfId="1" applyFont="1" applyBorder="1" applyAlignment="1" applyProtection="1">
      <alignment horizontal="center" vertical="center"/>
      <protection locked="0"/>
    </xf>
    <xf numFmtId="179" fontId="4" fillId="0" borderId="5" xfId="1" applyNumberFormat="1" applyFont="1" applyBorder="1" applyAlignment="1" applyProtection="1">
      <alignment horizontal="center" vertical="center" wrapText="1"/>
      <protection locked="0"/>
    </xf>
    <xf numFmtId="179" fontId="4" fillId="0" borderId="13" xfId="1" applyNumberFormat="1" applyFont="1" applyBorder="1" applyAlignment="1" applyProtection="1">
      <alignment horizontal="center" vertical="center" wrapText="1"/>
      <protection locked="0"/>
    </xf>
    <xf numFmtId="179" fontId="4" fillId="0" borderId="6" xfId="1" applyNumberFormat="1" applyFont="1" applyBorder="1" applyAlignment="1" applyProtection="1">
      <alignment horizontal="center" vertical="center" wrapText="1"/>
      <protection locked="0"/>
    </xf>
    <xf numFmtId="0" fontId="4" fillId="0" borderId="5" xfId="1" applyFont="1" applyBorder="1" applyAlignment="1" applyProtection="1">
      <alignment horizontal="center" vertical="center" wrapText="1"/>
      <protection locked="0"/>
    </xf>
    <xf numFmtId="0" fontId="4" fillId="0" borderId="13" xfId="1" applyFont="1" applyBorder="1" applyAlignment="1" applyProtection="1">
      <alignment horizontal="center" vertical="center" wrapText="1"/>
      <protection locked="0"/>
    </xf>
    <xf numFmtId="0" fontId="4" fillId="0" borderId="6" xfId="1" applyFont="1" applyBorder="1" applyAlignment="1" applyProtection="1">
      <alignment horizontal="center" vertical="center" wrapText="1"/>
      <protection locked="0"/>
    </xf>
    <xf numFmtId="180" fontId="4" fillId="0" borderId="3" xfId="1" applyNumberFormat="1" applyFont="1" applyBorder="1" applyAlignment="1" applyProtection="1">
      <alignment horizontal="right" vertical="center"/>
      <protection locked="0"/>
    </xf>
    <xf numFmtId="180" fontId="4" fillId="0" borderId="8" xfId="1" applyNumberFormat="1" applyFont="1" applyBorder="1" applyAlignment="1" applyProtection="1">
      <alignment horizontal="right" vertical="center"/>
      <protection locked="0"/>
    </xf>
    <xf numFmtId="176" fontId="4" fillId="0" borderId="8" xfId="1" applyNumberFormat="1" applyFont="1" applyBorder="1" applyAlignment="1" applyProtection="1">
      <alignment horizontal="left" vertical="center"/>
    </xf>
    <xf numFmtId="176" fontId="4" fillId="0" borderId="1" xfId="1" applyNumberFormat="1" applyFont="1" applyBorder="1" applyAlignment="1" applyProtection="1">
      <alignment horizontal="left" vertical="center"/>
    </xf>
    <xf numFmtId="181" fontId="4" fillId="0" borderId="5" xfId="1" applyNumberFormat="1" applyFont="1" applyBorder="1" applyAlignment="1" applyProtection="1">
      <alignment horizontal="center" vertical="center" wrapText="1"/>
      <protection locked="0"/>
    </xf>
    <xf numFmtId="181" fontId="4" fillId="0" borderId="13" xfId="1" applyNumberFormat="1" applyFont="1" applyBorder="1" applyAlignment="1" applyProtection="1">
      <alignment horizontal="center" vertical="center" wrapText="1"/>
      <protection locked="0"/>
    </xf>
    <xf numFmtId="181" fontId="4" fillId="0" borderId="6" xfId="1" applyNumberFormat="1" applyFont="1" applyBorder="1" applyAlignment="1" applyProtection="1">
      <alignment horizontal="center" vertical="center" wrapText="1"/>
      <protection locked="0"/>
    </xf>
    <xf numFmtId="182" fontId="4" fillId="0" borderId="8" xfId="1" applyNumberFormat="1" applyFont="1" applyBorder="1" applyAlignment="1" applyProtection="1">
      <alignment horizontal="left" vertical="center"/>
    </xf>
    <xf numFmtId="0" fontId="4" fillId="0" borderId="8" xfId="1" applyFont="1" applyBorder="1" applyAlignment="1" applyProtection="1">
      <alignment horizontal="left" vertical="center"/>
    </xf>
    <xf numFmtId="0" fontId="4" fillId="0" borderId="1" xfId="1" applyFont="1" applyBorder="1" applyAlignment="1" applyProtection="1">
      <alignment horizontal="left" vertical="center"/>
    </xf>
    <xf numFmtId="176" fontId="4" fillId="0" borderId="8" xfId="5" applyNumberFormat="1" applyFont="1" applyBorder="1" applyAlignment="1" applyProtection="1">
      <alignment horizontal="left" vertical="center"/>
    </xf>
    <xf numFmtId="180" fontId="4" fillId="0" borderId="8" xfId="5" applyNumberFormat="1" applyFont="1" applyBorder="1" applyAlignment="1" applyProtection="1">
      <alignment horizontal="right" vertical="center"/>
      <protection locked="0"/>
    </xf>
    <xf numFmtId="0" fontId="4" fillId="0" borderId="3" xfId="3" applyFont="1" applyBorder="1" applyAlignment="1" applyProtection="1">
      <alignment horizontal="center" vertical="center"/>
      <protection locked="0"/>
    </xf>
    <xf numFmtId="0" fontId="4" fillId="0" borderId="1" xfId="3" applyFont="1" applyBorder="1" applyAlignment="1" applyProtection="1">
      <alignment horizontal="center" vertical="center"/>
      <protection locked="0"/>
    </xf>
    <xf numFmtId="0" fontId="4" fillId="0" borderId="9" xfId="5" applyFont="1" applyBorder="1" applyAlignment="1" applyProtection="1">
      <alignment horizontal="center" vertical="center"/>
      <protection locked="0"/>
    </xf>
    <xf numFmtId="0" fontId="4" fillId="0" borderId="10" xfId="5" applyFont="1" applyBorder="1" applyAlignment="1" applyProtection="1">
      <alignment horizontal="center" vertical="center"/>
      <protection locked="0"/>
    </xf>
    <xf numFmtId="0" fontId="4" fillId="0" borderId="14" xfId="5" applyFont="1" applyBorder="1" applyAlignment="1" applyProtection="1">
      <alignment horizontal="center" vertical="center"/>
      <protection locked="0"/>
    </xf>
    <xf numFmtId="0" fontId="4" fillId="0" borderId="15" xfId="5" applyFont="1" applyBorder="1" applyAlignment="1" applyProtection="1">
      <alignment horizontal="center" vertical="center"/>
      <protection locked="0"/>
    </xf>
    <xf numFmtId="0" fontId="4" fillId="0" borderId="2" xfId="3" applyFont="1" applyBorder="1" applyAlignment="1" applyProtection="1">
      <alignment horizontal="center" vertical="center"/>
      <protection locked="0"/>
    </xf>
    <xf numFmtId="0" fontId="4" fillId="0" borderId="11" xfId="5" applyFont="1" applyBorder="1" applyAlignment="1" applyProtection="1">
      <alignment horizontal="center" vertical="center"/>
      <protection locked="0"/>
    </xf>
    <xf numFmtId="0" fontId="4" fillId="0" borderId="12" xfId="5" applyFont="1" applyBorder="1" applyAlignment="1" applyProtection="1">
      <alignment horizontal="center" vertical="center"/>
      <protection locked="0"/>
    </xf>
    <xf numFmtId="0" fontId="4" fillId="0" borderId="8" xfId="5" applyFont="1" applyBorder="1" applyAlignment="1" applyProtection="1">
      <alignment horizontal="right" vertical="center"/>
      <protection locked="0"/>
    </xf>
    <xf numFmtId="0" fontId="4" fillId="0" borderId="8" xfId="5" applyFont="1" applyBorder="1" applyAlignment="1" applyProtection="1">
      <alignment horizontal="left" vertical="center"/>
    </xf>
    <xf numFmtId="0" fontId="4" fillId="0" borderId="1" xfId="5" applyFont="1" applyBorder="1" applyAlignment="1" applyProtection="1">
      <alignment horizontal="left" vertical="center"/>
    </xf>
    <xf numFmtId="0" fontId="4" fillId="0" borderId="9" xfId="3" applyFont="1" applyBorder="1" applyAlignment="1" applyProtection="1">
      <alignment horizontal="center" vertical="center"/>
      <protection locked="0"/>
    </xf>
    <xf numFmtId="0" fontId="4" fillId="0" borderId="10" xfId="3" applyFont="1" applyBorder="1" applyAlignment="1" applyProtection="1">
      <alignment horizontal="center" vertical="center"/>
      <protection locked="0"/>
    </xf>
    <xf numFmtId="0" fontId="4" fillId="0" borderId="14" xfId="3" applyFont="1" applyBorder="1" applyAlignment="1" applyProtection="1">
      <alignment horizontal="center" vertical="center"/>
      <protection locked="0"/>
    </xf>
    <xf numFmtId="0" fontId="4" fillId="0" borderId="15" xfId="3" applyFont="1" applyBorder="1" applyAlignment="1" applyProtection="1">
      <alignment horizontal="center" vertical="center"/>
      <protection locked="0"/>
    </xf>
    <xf numFmtId="179" fontId="4" fillId="0" borderId="5" xfId="5" quotePrefix="1" applyNumberFormat="1" applyFont="1" applyBorder="1" applyAlignment="1" applyProtection="1">
      <alignment horizontal="center" vertical="center"/>
      <protection locked="0"/>
    </xf>
    <xf numFmtId="179" fontId="4" fillId="0" borderId="6" xfId="5" quotePrefix="1" applyNumberFormat="1" applyFont="1" applyBorder="1" applyAlignment="1" applyProtection="1">
      <alignment horizontal="center" vertical="center"/>
      <protection locked="0"/>
    </xf>
    <xf numFmtId="183" fontId="4" fillId="0" borderId="5" xfId="3" applyNumberFormat="1" applyFont="1" applyBorder="1" applyAlignment="1">
      <alignment horizontal="center" vertical="center"/>
    </xf>
    <xf numFmtId="183" fontId="4" fillId="0" borderId="6" xfId="3" applyNumberFormat="1" applyFont="1" applyBorder="1" applyAlignment="1">
      <alignment horizontal="center" vertical="center"/>
    </xf>
    <xf numFmtId="0" fontId="4" fillId="0" borderId="7" xfId="5" applyFont="1" applyBorder="1" applyAlignment="1" applyProtection="1">
      <alignment horizontal="center" vertical="center"/>
      <protection locked="0"/>
    </xf>
    <xf numFmtId="0" fontId="4" fillId="0" borderId="11" xfId="5" applyFont="1" applyBorder="1" applyAlignment="1" applyProtection="1">
      <alignment horizontal="right" vertical="center"/>
      <protection locked="0"/>
    </xf>
    <xf numFmtId="0" fontId="4" fillId="0" borderId="0" xfId="5" applyFont="1" applyBorder="1" applyAlignment="1" applyProtection="1">
      <alignment horizontal="right" vertical="center"/>
      <protection locked="0"/>
    </xf>
    <xf numFmtId="0" fontId="4" fillId="0" borderId="0" xfId="5" applyFont="1" applyBorder="1" applyAlignment="1" applyProtection="1">
      <alignment horizontal="left" vertical="center"/>
      <protection locked="0"/>
    </xf>
    <xf numFmtId="0" fontId="4" fillId="0" borderId="12" xfId="5" applyFont="1" applyBorder="1" applyAlignment="1" applyProtection="1">
      <alignment horizontal="left" vertical="center"/>
      <protection locked="0"/>
    </xf>
    <xf numFmtId="0" fontId="4" fillId="0" borderId="14" xfId="5" applyFont="1" applyBorder="1" applyAlignment="1" applyProtection="1">
      <alignment horizontal="right" vertical="center"/>
      <protection locked="0"/>
    </xf>
    <xf numFmtId="0" fontId="4" fillId="0" borderId="4" xfId="5" applyFont="1" applyBorder="1" applyAlignment="1" applyProtection="1">
      <alignment horizontal="right" vertical="center"/>
      <protection locked="0"/>
    </xf>
    <xf numFmtId="177" fontId="4" fillId="0" borderId="4" xfId="5" applyNumberFormat="1" applyFont="1" applyBorder="1" applyAlignment="1" applyProtection="1">
      <alignment horizontal="left" vertical="center"/>
    </xf>
    <xf numFmtId="177" fontId="4" fillId="0" borderId="15" xfId="5" applyNumberFormat="1" applyFont="1" applyBorder="1" applyAlignment="1" applyProtection="1">
      <alignment horizontal="left" vertical="center"/>
    </xf>
    <xf numFmtId="0" fontId="3" fillId="0" borderId="0" xfId="5" applyFont="1" applyBorder="1" applyAlignment="1">
      <alignment horizontal="center" vertical="center"/>
    </xf>
    <xf numFmtId="0" fontId="3" fillId="0" borderId="4" xfId="5" applyFont="1" applyBorder="1" applyAlignment="1">
      <alignment horizontal="center" vertical="center"/>
    </xf>
    <xf numFmtId="0" fontId="4" fillId="0" borderId="3" xfId="5" applyFont="1" applyBorder="1" applyAlignment="1" applyProtection="1">
      <alignment horizontal="right" vertical="center"/>
      <protection locked="0"/>
    </xf>
    <xf numFmtId="178" fontId="4" fillId="0" borderId="8" xfId="5" applyNumberFormat="1" applyFont="1" applyBorder="1" applyAlignment="1" applyProtection="1">
      <alignment horizontal="left" vertical="center"/>
    </xf>
    <xf numFmtId="178" fontId="4" fillId="0" borderId="1" xfId="5" applyNumberFormat="1" applyFont="1" applyBorder="1" applyAlignment="1" applyProtection="1">
      <alignment horizontal="left" vertical="center"/>
    </xf>
    <xf numFmtId="179" fontId="4" fillId="0" borderId="5" xfId="5" applyNumberFormat="1" applyFont="1" applyBorder="1" applyAlignment="1" applyProtection="1">
      <alignment horizontal="center" vertical="center" wrapText="1"/>
      <protection locked="0"/>
    </xf>
    <xf numFmtId="179" fontId="4" fillId="0" borderId="13" xfId="5" applyNumberFormat="1" applyFont="1" applyBorder="1" applyAlignment="1" applyProtection="1">
      <alignment horizontal="center" vertical="center" wrapText="1"/>
      <protection locked="0"/>
    </xf>
    <xf numFmtId="179" fontId="4" fillId="0" borderId="6" xfId="5" applyNumberFormat="1" applyFont="1" applyBorder="1" applyAlignment="1" applyProtection="1">
      <alignment horizontal="center" vertical="center" wrapText="1"/>
      <protection locked="0"/>
    </xf>
    <xf numFmtId="0" fontId="4" fillId="0" borderId="5" xfId="5" applyFont="1" applyBorder="1" applyAlignment="1" applyProtection="1">
      <alignment horizontal="center" vertical="center" wrapText="1"/>
      <protection locked="0"/>
    </xf>
    <xf numFmtId="0" fontId="4" fillId="0" borderId="13" xfId="5" applyFont="1" applyBorder="1" applyAlignment="1" applyProtection="1">
      <alignment horizontal="center" vertical="center" wrapText="1"/>
      <protection locked="0"/>
    </xf>
    <xf numFmtId="0" fontId="4" fillId="0" borderId="6" xfId="5" applyFont="1" applyBorder="1" applyAlignment="1" applyProtection="1">
      <alignment horizontal="center" vertical="center" wrapText="1"/>
      <protection locked="0"/>
    </xf>
    <xf numFmtId="180" fontId="4" fillId="0" borderId="3" xfId="5" applyNumberFormat="1" applyFont="1" applyBorder="1" applyAlignment="1" applyProtection="1">
      <alignment horizontal="right" vertical="center"/>
      <protection locked="0"/>
    </xf>
    <xf numFmtId="176" fontId="4" fillId="0" borderId="1" xfId="5" applyNumberFormat="1" applyFont="1" applyBorder="1" applyAlignment="1" applyProtection="1">
      <alignment horizontal="left" vertical="center"/>
    </xf>
    <xf numFmtId="182" fontId="4" fillId="0" borderId="8" xfId="5" applyNumberFormat="1" applyFont="1" applyBorder="1" applyAlignment="1" applyProtection="1">
      <alignment horizontal="left" vertical="center"/>
    </xf>
  </cellXfs>
  <cellStyles count="6">
    <cellStyle name="常规" xfId="0" builtinId="0"/>
    <cellStyle name="常规 2" xfId="2" xr:uid="{00000000-0005-0000-0000-000001000000}"/>
    <cellStyle name="常规 2 2" xfId="3" xr:uid="{00000000-0005-0000-0000-000002000000}"/>
    <cellStyle name="常规 3" xfId="4" xr:uid="{00000000-0005-0000-0000-000003000000}"/>
    <cellStyle name="常规_S231破损100m" xfId="1" xr:uid="{00000000-0005-0000-0000-000004000000}"/>
    <cellStyle name="常规_S231破损100m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tabSelected="1" topLeftCell="A22" zoomScale="115" zoomScaleNormal="115" workbookViewId="0">
      <selection activeCell="C30" sqref="C30"/>
    </sheetView>
  </sheetViews>
  <sheetFormatPr defaultRowHeight="15.95" customHeight="1"/>
  <cols>
    <col min="1" max="1" width="12.875" style="2" customWidth="1"/>
    <col min="2" max="2" width="6.625" style="2" customWidth="1"/>
    <col min="3" max="3" width="9" style="2" customWidth="1"/>
    <col min="4" max="4" width="5.875" style="2" customWidth="1"/>
    <col min="5" max="5" width="9.375" style="2" customWidth="1"/>
    <col min="6" max="15" width="7.5" style="2" customWidth="1"/>
    <col min="16" max="16" width="10" style="18" customWidth="1"/>
    <col min="17" max="17" width="7.875" style="1" hidden="1" customWidth="1"/>
    <col min="18" max="18" width="7.875" style="41" customWidth="1"/>
    <col min="19" max="19" width="7.875" style="2" customWidth="1"/>
    <col min="20" max="21" width="9" style="2" customWidth="1"/>
    <col min="22" max="16384" width="9" style="2"/>
  </cols>
  <sheetData>
    <row r="1" spans="1:18" ht="15.95" customHeight="1">
      <c r="A1" s="77" t="s">
        <v>16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</row>
    <row r="2" spans="1:18" ht="15.95" customHeight="1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</row>
    <row r="3" spans="1:18" ht="15.95" customHeight="1">
      <c r="A3" s="3" t="s">
        <v>59</v>
      </c>
      <c r="B3" s="4"/>
      <c r="C3" s="5" t="s">
        <v>17</v>
      </c>
      <c r="D3" s="6"/>
      <c r="E3" s="7"/>
      <c r="F3" s="79" t="s">
        <v>18</v>
      </c>
      <c r="G3" s="80"/>
      <c r="H3" s="81"/>
      <c r="I3" s="81"/>
      <c r="J3" s="81"/>
      <c r="K3" s="81"/>
      <c r="L3" s="81"/>
      <c r="M3" s="81"/>
      <c r="N3" s="81"/>
      <c r="O3" s="81"/>
      <c r="P3" s="82"/>
      <c r="Q3" s="2"/>
    </row>
    <row r="4" spans="1:18" ht="15.95" customHeight="1">
      <c r="A4" s="83" t="s">
        <v>19</v>
      </c>
      <c r="B4" s="84"/>
      <c r="C4" s="89" t="s">
        <v>20</v>
      </c>
      <c r="D4" s="92" t="s">
        <v>21</v>
      </c>
      <c r="E4" s="92" t="s">
        <v>22</v>
      </c>
      <c r="F4" s="95" t="s">
        <v>23</v>
      </c>
      <c r="G4" s="96"/>
      <c r="H4" s="97"/>
      <c r="I4" s="97"/>
      <c r="J4" s="97"/>
      <c r="K4" s="96" t="s">
        <v>24</v>
      </c>
      <c r="L4" s="96"/>
      <c r="M4" s="97"/>
      <c r="N4" s="97"/>
      <c r="O4" s="98"/>
      <c r="P4" s="99" t="s">
        <v>25</v>
      </c>
      <c r="Q4" s="2"/>
    </row>
    <row r="5" spans="1:18" ht="15.95" customHeight="1">
      <c r="A5" s="85"/>
      <c r="B5" s="86"/>
      <c r="C5" s="90"/>
      <c r="D5" s="93"/>
      <c r="E5" s="93"/>
      <c r="F5" s="79" t="s">
        <v>26</v>
      </c>
      <c r="G5" s="80"/>
      <c r="H5" s="102">
        <f>ABS(M4-H4)</f>
        <v>0</v>
      </c>
      <c r="I5" s="102"/>
      <c r="J5" s="102"/>
      <c r="K5" s="80" t="s">
        <v>27</v>
      </c>
      <c r="L5" s="80"/>
      <c r="M5" s="103">
        <v>3.75</v>
      </c>
      <c r="N5" s="103"/>
      <c r="O5" s="104"/>
      <c r="P5" s="100"/>
      <c r="Q5" s="2"/>
    </row>
    <row r="6" spans="1:18" ht="15.95" customHeight="1">
      <c r="A6" s="87"/>
      <c r="B6" s="88"/>
      <c r="C6" s="91"/>
      <c r="D6" s="94"/>
      <c r="E6" s="94"/>
      <c r="F6" s="8">
        <v>1</v>
      </c>
      <c r="G6" s="8">
        <v>2</v>
      </c>
      <c r="H6" s="8">
        <v>3</v>
      </c>
      <c r="I6" s="8">
        <v>4</v>
      </c>
      <c r="J6" s="8">
        <v>5</v>
      </c>
      <c r="K6" s="8">
        <v>6</v>
      </c>
      <c r="L6" s="8">
        <v>7</v>
      </c>
      <c r="M6" s="8">
        <v>8</v>
      </c>
      <c r="N6" s="8">
        <v>9</v>
      </c>
      <c r="O6" s="8">
        <v>10</v>
      </c>
      <c r="P6" s="101"/>
      <c r="Q6" s="2"/>
    </row>
    <row r="7" spans="1:18" ht="15.95" customHeight="1">
      <c r="A7" s="48" t="s">
        <v>6</v>
      </c>
      <c r="B7" s="50"/>
      <c r="C7" s="9" t="s">
        <v>2</v>
      </c>
      <c r="D7" s="10">
        <v>0.6</v>
      </c>
      <c r="E7" s="74" t="s">
        <v>28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2">
        <f>ROUND(SUM(F7:O7),3)</f>
        <v>0</v>
      </c>
      <c r="Q7" s="2"/>
      <c r="R7" s="42">
        <f>P7*D7</f>
        <v>0</v>
      </c>
    </row>
    <row r="8" spans="1:18" ht="15.95" customHeight="1">
      <c r="A8" s="75"/>
      <c r="B8" s="76"/>
      <c r="C8" s="9" t="s">
        <v>4</v>
      </c>
      <c r="D8" s="10">
        <v>0.8</v>
      </c>
      <c r="E8" s="74"/>
      <c r="F8" s="11"/>
      <c r="G8" s="11"/>
      <c r="H8" s="11"/>
      <c r="I8" s="11"/>
      <c r="J8" s="11"/>
      <c r="K8" s="11"/>
      <c r="L8" s="11"/>
      <c r="M8" s="11"/>
      <c r="N8" s="11"/>
      <c r="O8" s="11"/>
      <c r="P8" s="12">
        <f t="shared" ref="P8:P28" si="0">ROUND(SUM(F8:O8),3)</f>
        <v>0</v>
      </c>
      <c r="Q8" s="2"/>
      <c r="R8" s="42">
        <f>P8*D8</f>
        <v>0</v>
      </c>
    </row>
    <row r="9" spans="1:18" ht="15.95" customHeight="1">
      <c r="A9" s="68"/>
      <c r="B9" s="69"/>
      <c r="C9" s="9" t="s">
        <v>3</v>
      </c>
      <c r="D9" s="10">
        <v>1</v>
      </c>
      <c r="E9" s="74"/>
      <c r="F9" s="11"/>
      <c r="G9" s="11"/>
      <c r="H9" s="11"/>
      <c r="I9" s="11"/>
      <c r="J9" s="11"/>
      <c r="K9" s="11"/>
      <c r="L9" s="11"/>
      <c r="M9" s="11"/>
      <c r="N9" s="11"/>
      <c r="O9" s="11"/>
      <c r="P9" s="12">
        <f t="shared" si="0"/>
        <v>0</v>
      </c>
      <c r="Q9" s="2"/>
      <c r="R9" s="42">
        <f>P9*D9</f>
        <v>0</v>
      </c>
    </row>
    <row r="10" spans="1:18" ht="15.95" customHeight="1">
      <c r="A10" s="48" t="s">
        <v>7</v>
      </c>
      <c r="B10" s="50"/>
      <c r="C10" s="9" t="s">
        <v>2</v>
      </c>
      <c r="D10" s="10">
        <v>0.6</v>
      </c>
      <c r="E10" s="74" t="s">
        <v>28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>
        <f t="shared" si="0"/>
        <v>0</v>
      </c>
      <c r="Q10" s="2"/>
      <c r="R10" s="42">
        <f>P10*D10</f>
        <v>0</v>
      </c>
    </row>
    <row r="11" spans="1:18" ht="15.95" customHeight="1">
      <c r="A11" s="68"/>
      <c r="B11" s="69"/>
      <c r="C11" s="9" t="s">
        <v>3</v>
      </c>
      <c r="D11" s="10">
        <v>0.8</v>
      </c>
      <c r="E11" s="74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>
        <f t="shared" si="0"/>
        <v>0</v>
      </c>
      <c r="Q11" s="2"/>
      <c r="R11" s="42">
        <f>P11*D11</f>
        <v>0</v>
      </c>
    </row>
    <row r="12" spans="1:18" ht="15.95" customHeight="1">
      <c r="A12" s="48" t="s">
        <v>8</v>
      </c>
      <c r="B12" s="50"/>
      <c r="C12" s="9" t="s">
        <v>2</v>
      </c>
      <c r="D12" s="10">
        <v>0.6</v>
      </c>
      <c r="E12" s="74" t="s">
        <v>62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>
        <f t="shared" si="0"/>
        <v>0</v>
      </c>
      <c r="Q12" s="2"/>
      <c r="R12" s="42">
        <f>P12*0.2*D12</f>
        <v>0</v>
      </c>
    </row>
    <row r="13" spans="1:18" ht="15.95" customHeight="1">
      <c r="A13" s="68"/>
      <c r="B13" s="69"/>
      <c r="C13" s="9" t="s">
        <v>3</v>
      </c>
      <c r="D13" s="10">
        <v>1</v>
      </c>
      <c r="E13" s="74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2">
        <f t="shared" si="0"/>
        <v>0</v>
      </c>
      <c r="Q13" s="2"/>
      <c r="R13" s="42">
        <f>P13*0.2*D13</f>
        <v>0</v>
      </c>
    </row>
    <row r="14" spans="1:18" ht="15.95" customHeight="1">
      <c r="A14" s="48" t="s">
        <v>9</v>
      </c>
      <c r="B14" s="50"/>
      <c r="C14" s="9" t="s">
        <v>2</v>
      </c>
      <c r="D14" s="10">
        <v>0.6</v>
      </c>
      <c r="E14" s="74" t="s">
        <v>62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2">
        <f t="shared" si="0"/>
        <v>0</v>
      </c>
      <c r="Q14" s="2"/>
      <c r="R14" s="42">
        <f>P14*0.2*D14</f>
        <v>0</v>
      </c>
    </row>
    <row r="15" spans="1:18" ht="15.95" customHeight="1">
      <c r="A15" s="68"/>
      <c r="B15" s="69"/>
      <c r="C15" s="9" t="s">
        <v>3</v>
      </c>
      <c r="D15" s="10">
        <v>1</v>
      </c>
      <c r="E15" s="74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>
        <f t="shared" si="0"/>
        <v>0</v>
      </c>
      <c r="Q15" s="2"/>
      <c r="R15" s="42">
        <f>P15*0.2*D15</f>
        <v>0</v>
      </c>
    </row>
    <row r="16" spans="1:18" ht="15.95" customHeight="1">
      <c r="A16" s="48" t="s">
        <v>12</v>
      </c>
      <c r="B16" s="50"/>
      <c r="C16" s="9" t="s">
        <v>2</v>
      </c>
      <c r="D16" s="10">
        <v>0.6</v>
      </c>
      <c r="E16" s="74" t="s">
        <v>28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2">
        <f t="shared" ref="P16:P21" si="1">ROUND(SUM(F16:O16),3)</f>
        <v>0</v>
      </c>
      <c r="Q16" s="2"/>
      <c r="R16" s="42">
        <f>P16*D16</f>
        <v>0</v>
      </c>
    </row>
    <row r="17" spans="1:21" ht="15.95" customHeight="1">
      <c r="A17" s="68"/>
      <c r="B17" s="69"/>
      <c r="C17" s="9" t="s">
        <v>3</v>
      </c>
      <c r="D17" s="10">
        <v>1</v>
      </c>
      <c r="E17" s="74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>
        <f t="shared" si="1"/>
        <v>0</v>
      </c>
      <c r="Q17" s="2"/>
      <c r="R17" s="42">
        <f>P17*D17</f>
        <v>0</v>
      </c>
    </row>
    <row r="18" spans="1:21" ht="15.95" customHeight="1">
      <c r="A18" s="48" t="s">
        <v>13</v>
      </c>
      <c r="B18" s="50"/>
      <c r="C18" s="9" t="s">
        <v>2</v>
      </c>
      <c r="D18" s="10">
        <v>0.6</v>
      </c>
      <c r="E18" s="74" t="s">
        <v>62</v>
      </c>
      <c r="F18" s="11"/>
      <c r="G18" s="11"/>
      <c r="H18" s="11"/>
      <c r="I18" s="11"/>
      <c r="J18" s="11"/>
      <c r="K18" s="13"/>
      <c r="L18" s="11"/>
      <c r="M18" s="11"/>
      <c r="N18" s="11"/>
      <c r="O18" s="11"/>
      <c r="P18" s="12">
        <f t="shared" si="1"/>
        <v>0</v>
      </c>
      <c r="Q18" s="2"/>
      <c r="R18" s="42">
        <f>P18*0.4*D18</f>
        <v>0</v>
      </c>
    </row>
    <row r="19" spans="1:21" ht="15.95" customHeight="1">
      <c r="A19" s="68"/>
      <c r="B19" s="69"/>
      <c r="C19" s="9" t="s">
        <v>3</v>
      </c>
      <c r="D19" s="10">
        <v>1</v>
      </c>
      <c r="E19" s="74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2">
        <f t="shared" si="1"/>
        <v>0</v>
      </c>
      <c r="Q19" s="2"/>
      <c r="R19" s="42">
        <f>P19*0.4*D19</f>
        <v>0</v>
      </c>
    </row>
    <row r="20" spans="1:21" ht="15.95" customHeight="1">
      <c r="A20" s="48" t="s">
        <v>14</v>
      </c>
      <c r="B20" s="50"/>
      <c r="C20" s="9" t="s">
        <v>2</v>
      </c>
      <c r="D20" s="10">
        <v>0.6</v>
      </c>
      <c r="E20" s="74" t="s">
        <v>28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>
        <f t="shared" si="1"/>
        <v>0</v>
      </c>
      <c r="Q20" s="2"/>
      <c r="R20" s="42">
        <f t="shared" ref="R20:R27" si="2">P20*D20</f>
        <v>0</v>
      </c>
    </row>
    <row r="21" spans="1:21" ht="15.95" customHeight="1">
      <c r="A21" s="68"/>
      <c r="B21" s="69"/>
      <c r="C21" s="9" t="s">
        <v>3</v>
      </c>
      <c r="D21" s="10">
        <v>1</v>
      </c>
      <c r="E21" s="74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2">
        <f t="shared" si="1"/>
        <v>0</v>
      </c>
      <c r="Q21" s="2"/>
      <c r="R21" s="42">
        <f t="shared" si="2"/>
        <v>0</v>
      </c>
    </row>
    <row r="22" spans="1:21" ht="15.95" customHeight="1">
      <c r="A22" s="48" t="s">
        <v>10</v>
      </c>
      <c r="B22" s="50"/>
      <c r="C22" s="9" t="s">
        <v>2</v>
      </c>
      <c r="D22" s="10">
        <v>0.8</v>
      </c>
      <c r="E22" s="74" t="s">
        <v>28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2">
        <f t="shared" si="0"/>
        <v>0</v>
      </c>
      <c r="Q22" s="2"/>
      <c r="R22" s="42">
        <f t="shared" si="2"/>
        <v>0</v>
      </c>
    </row>
    <row r="23" spans="1:21" ht="15.95" customHeight="1">
      <c r="A23" s="68"/>
      <c r="B23" s="69"/>
      <c r="C23" s="9" t="s">
        <v>3</v>
      </c>
      <c r="D23" s="10">
        <v>1</v>
      </c>
      <c r="E23" s="74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2">
        <f t="shared" si="0"/>
        <v>0</v>
      </c>
      <c r="Q23" s="2"/>
      <c r="R23" s="42">
        <f t="shared" si="2"/>
        <v>0</v>
      </c>
    </row>
    <row r="24" spans="1:21" ht="15.95" customHeight="1">
      <c r="A24" s="48" t="s">
        <v>11</v>
      </c>
      <c r="B24" s="50"/>
      <c r="C24" s="9" t="s">
        <v>2</v>
      </c>
      <c r="D24" s="10">
        <v>0.6</v>
      </c>
      <c r="E24" s="74" t="s">
        <v>28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2">
        <f t="shared" si="0"/>
        <v>0</v>
      </c>
      <c r="Q24" s="2"/>
      <c r="R24" s="42">
        <f t="shared" si="2"/>
        <v>0</v>
      </c>
    </row>
    <row r="25" spans="1:21" ht="15.95" customHeight="1">
      <c r="A25" s="68"/>
      <c r="B25" s="69"/>
      <c r="C25" s="9" t="s">
        <v>3</v>
      </c>
      <c r="D25" s="10">
        <v>1</v>
      </c>
      <c r="E25" s="74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>
        <f t="shared" si="0"/>
        <v>0</v>
      </c>
      <c r="Q25" s="2"/>
      <c r="R25" s="42">
        <f t="shared" si="2"/>
        <v>0</v>
      </c>
    </row>
    <row r="26" spans="1:21" ht="15.95" customHeight="1">
      <c r="A26" s="46" t="s">
        <v>15</v>
      </c>
      <c r="B26" s="47"/>
      <c r="C26" s="14" t="s">
        <v>29</v>
      </c>
      <c r="D26" s="10">
        <v>0.2</v>
      </c>
      <c r="E26" s="15" t="s">
        <v>63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2">
        <f t="shared" si="0"/>
        <v>0</v>
      </c>
      <c r="Q26" s="2"/>
      <c r="R26" s="42">
        <f t="shared" si="2"/>
        <v>0</v>
      </c>
    </row>
    <row r="27" spans="1:21" ht="15.95" customHeight="1">
      <c r="A27" s="48" t="s">
        <v>5</v>
      </c>
      <c r="B27" s="50"/>
      <c r="C27" s="70" t="s">
        <v>29</v>
      </c>
      <c r="D27" s="72">
        <v>0.1</v>
      </c>
      <c r="E27" s="39" t="s">
        <v>65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2">
        <f t="shared" si="0"/>
        <v>0</v>
      </c>
      <c r="Q27" s="2"/>
      <c r="R27" s="42">
        <f t="shared" si="2"/>
        <v>0</v>
      </c>
    </row>
    <row r="28" spans="1:21" ht="15.95" customHeight="1">
      <c r="A28" s="68"/>
      <c r="B28" s="69"/>
      <c r="C28" s="71"/>
      <c r="D28" s="73"/>
      <c r="E28" s="15" t="s">
        <v>64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2">
        <f t="shared" si="0"/>
        <v>0</v>
      </c>
      <c r="Q28" s="2"/>
      <c r="R28" s="42">
        <f>P28*0.2*D27</f>
        <v>0</v>
      </c>
    </row>
    <row r="29" spans="1:21" ht="15.95" customHeight="1">
      <c r="A29" s="48" t="e">
        <f>"评定结果:"&amp;IF(C31&gt;=90,"优",IF(C31&gt;=80,"良",IF(C31&gt;=70,"中",IF(C31&gt;=60,"次","差"))))</f>
        <v>#DIV/0!</v>
      </c>
      <c r="B29" s="49"/>
      <c r="C29" s="49"/>
      <c r="D29" s="49"/>
      <c r="E29" s="50"/>
      <c r="F29" s="51" t="s">
        <v>61</v>
      </c>
      <c r="G29" s="52"/>
      <c r="H29" s="52"/>
      <c r="I29" s="52"/>
      <c r="J29" s="52"/>
      <c r="K29" s="52"/>
      <c r="L29" s="52"/>
      <c r="M29" s="52"/>
      <c r="N29" s="52"/>
      <c r="O29" s="52"/>
      <c r="P29" s="53"/>
      <c r="Q29" s="2"/>
    </row>
    <row r="30" spans="1:21" ht="15.95" customHeight="1">
      <c r="A30" s="60" t="s">
        <v>30</v>
      </c>
      <c r="B30" s="61"/>
      <c r="C30" s="37" t="e">
        <f>ROUND(SUM(R7:R28)*100/H5/M5,6)</f>
        <v>#DIV/0!</v>
      </c>
      <c r="D30" s="62" t="s">
        <v>31</v>
      </c>
      <c r="E30" s="63"/>
      <c r="F30" s="54"/>
      <c r="G30" s="55"/>
      <c r="H30" s="55"/>
      <c r="I30" s="55"/>
      <c r="J30" s="55"/>
      <c r="K30" s="55"/>
      <c r="L30" s="55"/>
      <c r="M30" s="55"/>
      <c r="N30" s="55"/>
      <c r="O30" s="55"/>
      <c r="P30" s="56"/>
      <c r="Q30" s="2"/>
      <c r="T30" s="16"/>
      <c r="U30" s="17"/>
    </row>
    <row r="31" spans="1:21" ht="15.95" customHeight="1">
      <c r="A31" s="64" t="s">
        <v>32</v>
      </c>
      <c r="B31" s="65"/>
      <c r="C31" s="66" t="e">
        <f>ROUND(100-(15*(C30^0.412)),2)</f>
        <v>#DIV/0!</v>
      </c>
      <c r="D31" s="66"/>
      <c r="E31" s="67"/>
      <c r="F31" s="57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1" t="e">
        <f>C30</f>
        <v>#DIV/0!</v>
      </c>
      <c r="R31" s="43"/>
    </row>
  </sheetData>
  <sheetProtection selectLockedCells="1"/>
  <autoFilter ref="Q2:Q31" xr:uid="{00000000-0009-0000-0000-000000000000}"/>
  <mergeCells count="44">
    <mergeCell ref="A1:P2"/>
    <mergeCell ref="F3:G3"/>
    <mergeCell ref="H3:P3"/>
    <mergeCell ref="A4:B6"/>
    <mergeCell ref="C4:C6"/>
    <mergeCell ref="D4:D6"/>
    <mergeCell ref="E4:E6"/>
    <mergeCell ref="F4:G4"/>
    <mergeCell ref="H4:J4"/>
    <mergeCell ref="K4:L4"/>
    <mergeCell ref="M4:O4"/>
    <mergeCell ref="P4:P6"/>
    <mergeCell ref="F5:G5"/>
    <mergeCell ref="H5:J5"/>
    <mergeCell ref="K5:L5"/>
    <mergeCell ref="M5:O5"/>
    <mergeCell ref="A7:B9"/>
    <mergeCell ref="E7:E9"/>
    <mergeCell ref="A10:B11"/>
    <mergeCell ref="E10:E11"/>
    <mergeCell ref="A12:B13"/>
    <mergeCell ref="E12:E13"/>
    <mergeCell ref="A14:B15"/>
    <mergeCell ref="E14:E15"/>
    <mergeCell ref="A22:B23"/>
    <mergeCell ref="E22:E23"/>
    <mergeCell ref="A24:B25"/>
    <mergeCell ref="E24:E25"/>
    <mergeCell ref="A16:B17"/>
    <mergeCell ref="E16:E17"/>
    <mergeCell ref="A18:B19"/>
    <mergeCell ref="E18:E19"/>
    <mergeCell ref="A20:B21"/>
    <mergeCell ref="E20:E21"/>
    <mergeCell ref="A26:B26"/>
    <mergeCell ref="A29:E29"/>
    <mergeCell ref="F29:P31"/>
    <mergeCell ref="A30:B30"/>
    <mergeCell ref="D30:E30"/>
    <mergeCell ref="A31:B31"/>
    <mergeCell ref="C31:E31"/>
    <mergeCell ref="A27:B28"/>
    <mergeCell ref="C27:C28"/>
    <mergeCell ref="D27:D28"/>
  </mergeCells>
  <phoneticPr fontId="2" type="noConversion"/>
  <pageMargins left="0.59055118110236227" right="0.59055118110236227" top="0.78740157480314965" bottom="0.59055118110236227" header="0.51181102362204722" footer="0.51181102362204722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U30"/>
  <sheetViews>
    <sheetView topLeftCell="A15" zoomScale="115" zoomScaleNormal="115" workbookViewId="0">
      <selection activeCell="C29" sqref="C29"/>
    </sheetView>
  </sheetViews>
  <sheetFormatPr defaultRowHeight="15.95" customHeight="1"/>
  <cols>
    <col min="1" max="1" width="11.5" style="19" customWidth="1"/>
    <col min="2" max="2" width="6.75" style="19" customWidth="1"/>
    <col min="3" max="3" width="8.625" style="19" customWidth="1"/>
    <col min="4" max="4" width="5.75" style="19" customWidth="1"/>
    <col min="5" max="5" width="9.125" style="19" customWidth="1"/>
    <col min="6" max="15" width="7.5" style="19" customWidth="1"/>
    <col min="16" max="16" width="8.625" style="19" customWidth="1"/>
    <col min="17" max="17" width="8.625" style="19" hidden="1" customWidth="1"/>
    <col min="18" max="18" width="7.875" style="44" customWidth="1"/>
    <col min="19" max="19" width="7.875" style="19" customWidth="1"/>
    <col min="20" max="21" width="9" style="19" customWidth="1"/>
    <col min="22" max="16384" width="9" style="19"/>
  </cols>
  <sheetData>
    <row r="1" spans="1:18" ht="15.95" customHeight="1">
      <c r="A1" s="136" t="s">
        <v>33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</row>
    <row r="2" spans="1:18" ht="15.9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</row>
    <row r="3" spans="1:18" ht="15.95" customHeight="1">
      <c r="A3" s="20" t="s">
        <v>60</v>
      </c>
      <c r="B3" s="21"/>
      <c r="C3" s="22" t="s">
        <v>34</v>
      </c>
      <c r="D3" s="23"/>
      <c r="E3" s="24"/>
      <c r="F3" s="138" t="s">
        <v>35</v>
      </c>
      <c r="G3" s="116"/>
      <c r="H3" s="139"/>
      <c r="I3" s="139"/>
      <c r="J3" s="139"/>
      <c r="K3" s="139"/>
      <c r="L3" s="139"/>
      <c r="M3" s="139"/>
      <c r="N3" s="139"/>
      <c r="O3" s="139"/>
      <c r="P3" s="140"/>
    </row>
    <row r="4" spans="1:18" ht="15.95" customHeight="1">
      <c r="A4" s="109" t="s">
        <v>36</v>
      </c>
      <c r="B4" s="110"/>
      <c r="C4" s="141" t="s">
        <v>20</v>
      </c>
      <c r="D4" s="144" t="s">
        <v>21</v>
      </c>
      <c r="E4" s="144" t="s">
        <v>22</v>
      </c>
      <c r="F4" s="147" t="s">
        <v>37</v>
      </c>
      <c r="G4" s="106"/>
      <c r="H4" s="105"/>
      <c r="I4" s="105"/>
      <c r="J4" s="105"/>
      <c r="K4" s="106" t="s">
        <v>38</v>
      </c>
      <c r="L4" s="106"/>
      <c r="M4" s="105"/>
      <c r="N4" s="105"/>
      <c r="O4" s="148"/>
      <c r="P4" s="144" t="s">
        <v>25</v>
      </c>
    </row>
    <row r="5" spans="1:18" ht="15.95" customHeight="1">
      <c r="A5" s="114"/>
      <c r="B5" s="115"/>
      <c r="C5" s="142"/>
      <c r="D5" s="145"/>
      <c r="E5" s="145"/>
      <c r="F5" s="138" t="s">
        <v>39</v>
      </c>
      <c r="G5" s="116"/>
      <c r="H5" s="149">
        <f>ABS(M4-H4)</f>
        <v>0</v>
      </c>
      <c r="I5" s="149"/>
      <c r="J5" s="149"/>
      <c r="K5" s="116" t="s">
        <v>40</v>
      </c>
      <c r="L5" s="116"/>
      <c r="M5" s="117">
        <v>3.75</v>
      </c>
      <c r="N5" s="117"/>
      <c r="O5" s="118"/>
      <c r="P5" s="145"/>
    </row>
    <row r="6" spans="1:18" ht="15.95" customHeight="1">
      <c r="A6" s="111"/>
      <c r="B6" s="112"/>
      <c r="C6" s="143"/>
      <c r="D6" s="146"/>
      <c r="E6" s="146"/>
      <c r="F6" s="25">
        <v>1</v>
      </c>
      <c r="G6" s="25">
        <v>2</v>
      </c>
      <c r="H6" s="25">
        <v>3</v>
      </c>
      <c r="I6" s="25">
        <v>4</v>
      </c>
      <c r="J6" s="25">
        <v>5</v>
      </c>
      <c r="K6" s="25">
        <v>6</v>
      </c>
      <c r="L6" s="25">
        <v>7</v>
      </c>
      <c r="M6" s="25">
        <v>8</v>
      </c>
      <c r="N6" s="25">
        <v>9</v>
      </c>
      <c r="O6" s="25">
        <v>10</v>
      </c>
      <c r="P6" s="146"/>
    </row>
    <row r="7" spans="1:18" ht="15.95" customHeight="1">
      <c r="A7" s="109" t="s">
        <v>1</v>
      </c>
      <c r="B7" s="110" t="s">
        <v>2</v>
      </c>
      <c r="C7" s="26" t="s">
        <v>2</v>
      </c>
      <c r="D7" s="27">
        <v>0.8</v>
      </c>
      <c r="E7" s="113" t="s">
        <v>41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9">
        <f>ROUND(SUM(F7:O7),3)</f>
        <v>0</v>
      </c>
      <c r="Q7" s="30"/>
      <c r="R7" s="44">
        <f>P7*D7</f>
        <v>0</v>
      </c>
    </row>
    <row r="8" spans="1:18" ht="15.95" customHeight="1">
      <c r="A8" s="111"/>
      <c r="B8" s="112" t="s">
        <v>3</v>
      </c>
      <c r="C8" s="26" t="s">
        <v>42</v>
      </c>
      <c r="D8" s="27">
        <v>1</v>
      </c>
      <c r="E8" s="113"/>
      <c r="F8" s="28"/>
      <c r="G8" s="28"/>
      <c r="H8" s="28"/>
      <c r="I8" s="28"/>
      <c r="J8" s="28"/>
      <c r="K8" s="28"/>
      <c r="L8" s="28"/>
      <c r="M8" s="28"/>
      <c r="N8" s="28"/>
      <c r="O8" s="28"/>
      <c r="P8" s="29">
        <f t="shared" ref="P8:P27" si="0">ROUND(SUM(F8:O8),3)</f>
        <v>0</v>
      </c>
      <c r="R8" s="44">
        <f t="shared" ref="R8:R26" si="1">P8*D8</f>
        <v>0</v>
      </c>
    </row>
    <row r="9" spans="1:18" ht="15.95" customHeight="1">
      <c r="A9" s="109" t="s">
        <v>43</v>
      </c>
      <c r="B9" s="110"/>
      <c r="C9" s="26" t="s">
        <v>0</v>
      </c>
      <c r="D9" s="27">
        <v>0.6</v>
      </c>
      <c r="E9" s="113" t="s">
        <v>62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9">
        <f t="shared" si="0"/>
        <v>0</v>
      </c>
      <c r="R9" s="44">
        <f>P9*D9*1</f>
        <v>0</v>
      </c>
    </row>
    <row r="10" spans="1:18" ht="15.95" customHeight="1">
      <c r="A10" s="114"/>
      <c r="B10" s="115"/>
      <c r="C10" s="26" t="s">
        <v>44</v>
      </c>
      <c r="D10" s="27">
        <v>0.8</v>
      </c>
      <c r="E10" s="113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9">
        <f t="shared" si="0"/>
        <v>0</v>
      </c>
      <c r="R10" s="44">
        <f>P10*D10*1</f>
        <v>0</v>
      </c>
    </row>
    <row r="11" spans="1:18" ht="15.95" customHeight="1">
      <c r="A11" s="111"/>
      <c r="B11" s="112"/>
      <c r="C11" s="26" t="s">
        <v>3</v>
      </c>
      <c r="D11" s="27">
        <v>1</v>
      </c>
      <c r="E11" s="113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9">
        <f t="shared" si="0"/>
        <v>0</v>
      </c>
      <c r="R11" s="44">
        <f>P11*D11*1</f>
        <v>0</v>
      </c>
    </row>
    <row r="12" spans="1:18" ht="15.95" customHeight="1">
      <c r="A12" s="109" t="s">
        <v>45</v>
      </c>
      <c r="B12" s="110"/>
      <c r="C12" s="26" t="s">
        <v>46</v>
      </c>
      <c r="D12" s="27">
        <v>0.6</v>
      </c>
      <c r="E12" s="113" t="s">
        <v>47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>
        <f t="shared" si="0"/>
        <v>0</v>
      </c>
      <c r="R12" s="44">
        <f t="shared" si="1"/>
        <v>0</v>
      </c>
    </row>
    <row r="13" spans="1:18" ht="15.95" customHeight="1">
      <c r="A13" s="114"/>
      <c r="B13" s="115"/>
      <c r="C13" s="26" t="s">
        <v>44</v>
      </c>
      <c r="D13" s="27">
        <v>0.8</v>
      </c>
      <c r="E13" s="113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>
        <f t="shared" si="0"/>
        <v>0</v>
      </c>
      <c r="R13" s="44">
        <f t="shared" si="1"/>
        <v>0</v>
      </c>
    </row>
    <row r="14" spans="1:18" ht="15.95" customHeight="1">
      <c r="A14" s="111"/>
      <c r="B14" s="112"/>
      <c r="C14" s="26" t="s">
        <v>48</v>
      </c>
      <c r="D14" s="27">
        <v>1</v>
      </c>
      <c r="E14" s="113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>
        <f t="shared" si="0"/>
        <v>0</v>
      </c>
      <c r="R14" s="44">
        <f t="shared" si="1"/>
        <v>0</v>
      </c>
    </row>
    <row r="15" spans="1:18" ht="15.95" customHeight="1">
      <c r="A15" s="109" t="s">
        <v>49</v>
      </c>
      <c r="B15" s="110"/>
      <c r="C15" s="26" t="s">
        <v>46</v>
      </c>
      <c r="D15" s="27">
        <v>0.6</v>
      </c>
      <c r="E15" s="113" t="s">
        <v>62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>
        <f t="shared" si="0"/>
        <v>0</v>
      </c>
      <c r="R15" s="44">
        <f>P15*D15*1</f>
        <v>0</v>
      </c>
    </row>
    <row r="16" spans="1:18" ht="15.95" customHeight="1">
      <c r="A16" s="111"/>
      <c r="B16" s="112"/>
      <c r="C16" s="26" t="s">
        <v>48</v>
      </c>
      <c r="D16" s="27">
        <v>1</v>
      </c>
      <c r="E16" s="113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>
        <f t="shared" si="0"/>
        <v>0</v>
      </c>
      <c r="R16" s="44">
        <f>P16*D16*1</f>
        <v>0</v>
      </c>
    </row>
    <row r="17" spans="1:21" ht="15.95" customHeight="1">
      <c r="A17" s="109" t="s">
        <v>54</v>
      </c>
      <c r="B17" s="110"/>
      <c r="C17" s="31" t="s">
        <v>50</v>
      </c>
      <c r="D17" s="32">
        <v>1</v>
      </c>
      <c r="E17" s="33" t="s">
        <v>47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>
        <f t="shared" si="0"/>
        <v>0</v>
      </c>
      <c r="R17" s="44">
        <f t="shared" si="1"/>
        <v>0</v>
      </c>
    </row>
    <row r="18" spans="1:21" ht="15.95" customHeight="1">
      <c r="A18" s="109" t="s">
        <v>51</v>
      </c>
      <c r="B18" s="110"/>
      <c r="C18" s="26" t="s">
        <v>46</v>
      </c>
      <c r="D18" s="27">
        <v>0.6</v>
      </c>
      <c r="E18" s="113" t="s">
        <v>62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>
        <f t="shared" si="0"/>
        <v>0</v>
      </c>
      <c r="R18" s="44">
        <f>P18*D18*1</f>
        <v>0</v>
      </c>
    </row>
    <row r="19" spans="1:21" ht="15.95" customHeight="1">
      <c r="A19" s="114"/>
      <c r="B19" s="115"/>
      <c r="C19" s="26" t="s">
        <v>44</v>
      </c>
      <c r="D19" s="27">
        <v>0.8</v>
      </c>
      <c r="E19" s="113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9">
        <f t="shared" si="0"/>
        <v>0</v>
      </c>
      <c r="R19" s="44">
        <f>P19*D19*1</f>
        <v>0</v>
      </c>
    </row>
    <row r="20" spans="1:21" ht="15.95" customHeight="1">
      <c r="A20" s="111"/>
      <c r="B20" s="112"/>
      <c r="C20" s="26" t="s">
        <v>3</v>
      </c>
      <c r="D20" s="27">
        <v>1</v>
      </c>
      <c r="E20" s="113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>
        <f t="shared" si="0"/>
        <v>0</v>
      </c>
      <c r="R20" s="44">
        <f>P20*D20*1</f>
        <v>0</v>
      </c>
    </row>
    <row r="21" spans="1:21" ht="15.95" customHeight="1">
      <c r="A21" s="109" t="s">
        <v>52</v>
      </c>
      <c r="B21" s="110"/>
      <c r="C21" s="26" t="s">
        <v>2</v>
      </c>
      <c r="D21" s="27">
        <v>0.4</v>
      </c>
      <c r="E21" s="113" t="s">
        <v>62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>
        <f t="shared" si="0"/>
        <v>0</v>
      </c>
      <c r="R21" s="44">
        <f>P21*D21*1</f>
        <v>0</v>
      </c>
    </row>
    <row r="22" spans="1:21" ht="15.95" customHeight="1">
      <c r="A22" s="111"/>
      <c r="B22" s="112"/>
      <c r="C22" s="26" t="s">
        <v>3</v>
      </c>
      <c r="D22" s="27">
        <v>0.6</v>
      </c>
      <c r="E22" s="113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9">
        <f t="shared" si="0"/>
        <v>0</v>
      </c>
      <c r="R22" s="44">
        <f>P22*D22*1</f>
        <v>0</v>
      </c>
    </row>
    <row r="23" spans="1:21" ht="15.95" customHeight="1">
      <c r="A23" s="107" t="s">
        <v>53</v>
      </c>
      <c r="B23" s="108"/>
      <c r="C23" s="31" t="s">
        <v>50</v>
      </c>
      <c r="D23" s="27">
        <v>1</v>
      </c>
      <c r="E23" s="34" t="s">
        <v>47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9">
        <f t="shared" si="0"/>
        <v>0</v>
      </c>
      <c r="R23" s="44">
        <f t="shared" si="1"/>
        <v>0</v>
      </c>
    </row>
    <row r="24" spans="1:21" ht="15.95" customHeight="1">
      <c r="A24" s="107" t="s">
        <v>58</v>
      </c>
      <c r="B24" s="108"/>
      <c r="C24" s="31" t="s">
        <v>50</v>
      </c>
      <c r="D24" s="27">
        <v>1</v>
      </c>
      <c r="E24" s="34" t="s">
        <v>62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9">
        <f t="shared" si="0"/>
        <v>0</v>
      </c>
      <c r="R24" s="44">
        <f>P24*D24*1</f>
        <v>0</v>
      </c>
    </row>
    <row r="25" spans="1:21" ht="15.95" customHeight="1">
      <c r="A25" s="107" t="s">
        <v>55</v>
      </c>
      <c r="B25" s="108"/>
      <c r="C25" s="31" t="s">
        <v>50</v>
      </c>
      <c r="D25" s="27">
        <v>0.3</v>
      </c>
      <c r="E25" s="33" t="s">
        <v>47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9">
        <f t="shared" si="0"/>
        <v>0</v>
      </c>
      <c r="R25" s="44">
        <f t="shared" si="1"/>
        <v>0</v>
      </c>
    </row>
    <row r="26" spans="1:21" ht="15.95" customHeight="1">
      <c r="A26" s="119" t="s">
        <v>56</v>
      </c>
      <c r="B26" s="120"/>
      <c r="C26" s="123" t="s">
        <v>50</v>
      </c>
      <c r="D26" s="125">
        <v>0.1</v>
      </c>
      <c r="E26" s="40" t="s">
        <v>66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9">
        <f t="shared" si="0"/>
        <v>0</v>
      </c>
      <c r="R26" s="44">
        <f t="shared" si="1"/>
        <v>0</v>
      </c>
    </row>
    <row r="27" spans="1:21" ht="15.95" customHeight="1">
      <c r="A27" s="121"/>
      <c r="B27" s="122"/>
      <c r="C27" s="124"/>
      <c r="D27" s="126"/>
      <c r="E27" s="33" t="s">
        <v>64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9">
        <f t="shared" si="0"/>
        <v>0</v>
      </c>
      <c r="R27" s="44">
        <f>P27*D26*0.2</f>
        <v>0</v>
      </c>
    </row>
    <row r="28" spans="1:21" ht="15.95" customHeight="1">
      <c r="A28" s="109" t="e">
        <f>"评定结果:"&amp;IF(C30&gt;=90,"优",IF(C30&gt;=80,"良",IF(C30&gt;=70,"中",IF(C30&gt;=60,"次","差"))))</f>
        <v>#DIV/0!</v>
      </c>
      <c r="B28" s="127"/>
      <c r="C28" s="127"/>
      <c r="D28" s="127"/>
      <c r="E28" s="110"/>
      <c r="F28" s="51" t="s">
        <v>61</v>
      </c>
      <c r="G28" s="52"/>
      <c r="H28" s="52"/>
      <c r="I28" s="52"/>
      <c r="J28" s="52"/>
      <c r="K28" s="52"/>
      <c r="L28" s="52"/>
      <c r="M28" s="52"/>
      <c r="N28" s="52"/>
      <c r="O28" s="52"/>
      <c r="P28" s="53"/>
    </row>
    <row r="29" spans="1:21" ht="15.95" customHeight="1">
      <c r="A29" s="128" t="s">
        <v>30</v>
      </c>
      <c r="B29" s="129"/>
      <c r="C29" s="38" t="e">
        <f>ROUND(SUM(R7:R27)*100/H5/M5,6)</f>
        <v>#DIV/0!</v>
      </c>
      <c r="D29" s="130" t="s">
        <v>57</v>
      </c>
      <c r="E29" s="131"/>
      <c r="F29" s="54"/>
      <c r="G29" s="55"/>
      <c r="H29" s="55"/>
      <c r="I29" s="55"/>
      <c r="J29" s="55"/>
      <c r="K29" s="55"/>
      <c r="L29" s="55"/>
      <c r="M29" s="55"/>
      <c r="N29" s="55"/>
      <c r="O29" s="55"/>
      <c r="P29" s="56"/>
      <c r="U29" s="35"/>
    </row>
    <row r="30" spans="1:21" ht="15.95" customHeight="1">
      <c r="A30" s="132" t="s">
        <v>32</v>
      </c>
      <c r="B30" s="133"/>
      <c r="C30" s="134" t="e">
        <f>ROUND(100-(10.66*(C29^0.461)),2)</f>
        <v>#DIV/0!</v>
      </c>
      <c r="D30" s="134"/>
      <c r="E30" s="135"/>
      <c r="F30" s="57"/>
      <c r="G30" s="58"/>
      <c r="H30" s="58"/>
      <c r="I30" s="58"/>
      <c r="J30" s="58"/>
      <c r="K30" s="58"/>
      <c r="L30" s="58"/>
      <c r="M30" s="58"/>
      <c r="N30" s="58"/>
      <c r="O30" s="58"/>
      <c r="P30" s="59"/>
      <c r="Q30" s="36" t="e">
        <f>C29</f>
        <v>#DIV/0!</v>
      </c>
      <c r="R30" s="45"/>
    </row>
  </sheetData>
  <sheetProtection selectLockedCells="1"/>
  <mergeCells count="41">
    <mergeCell ref="A1:P2"/>
    <mergeCell ref="A23:B23"/>
    <mergeCell ref="F3:G3"/>
    <mergeCell ref="H3:P3"/>
    <mergeCell ref="A4:B6"/>
    <mergeCell ref="C4:C6"/>
    <mergeCell ref="D4:D6"/>
    <mergeCell ref="E4:E6"/>
    <mergeCell ref="F4:G4"/>
    <mergeCell ref="M4:O4"/>
    <mergeCell ref="P4:P6"/>
    <mergeCell ref="F5:G5"/>
    <mergeCell ref="H5:J5"/>
    <mergeCell ref="A28:E28"/>
    <mergeCell ref="F28:P30"/>
    <mergeCell ref="A29:B29"/>
    <mergeCell ref="D29:E29"/>
    <mergeCell ref="A30:B30"/>
    <mergeCell ref="C30:E30"/>
    <mergeCell ref="M5:O5"/>
    <mergeCell ref="A26:B27"/>
    <mergeCell ref="C26:C27"/>
    <mergeCell ref="D26:D27"/>
    <mergeCell ref="A24:B24"/>
    <mergeCell ref="A17:B17"/>
    <mergeCell ref="A18:B20"/>
    <mergeCell ref="E18:E20"/>
    <mergeCell ref="H4:J4"/>
    <mergeCell ref="K4:L4"/>
    <mergeCell ref="A25:B25"/>
    <mergeCell ref="A21:B22"/>
    <mergeCell ref="E21:E22"/>
    <mergeCell ref="A7:B8"/>
    <mergeCell ref="E7:E8"/>
    <mergeCell ref="A9:B11"/>
    <mergeCell ref="E9:E11"/>
    <mergeCell ref="A12:B14"/>
    <mergeCell ref="E12:E14"/>
    <mergeCell ref="A15:B16"/>
    <mergeCell ref="E15:E16"/>
    <mergeCell ref="K5:L5"/>
  </mergeCells>
  <phoneticPr fontId="2" type="noConversion"/>
  <pageMargins left="0.59055118110236227" right="0.59055118110236227" top="0.78740157480314965" bottom="0.59055118110236227" header="0.51181102362204722" footer="0.51181102362204722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沥青路面损坏调查表</vt:lpstr>
      <vt:lpstr>水泥路面损坏调查表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Lenovo</cp:lastModifiedBy>
  <cp:lastPrinted>2019-05-09T05:54:42Z</cp:lastPrinted>
  <dcterms:created xsi:type="dcterms:W3CDTF">2018-02-08T07:56:31Z</dcterms:created>
  <dcterms:modified xsi:type="dcterms:W3CDTF">2023-07-31T06:49:06Z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2052-10.1.0.7022</vt:lpwstr>
  </property>
</Properties>
</file>