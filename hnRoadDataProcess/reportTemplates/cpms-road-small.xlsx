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showInkAnnotation="0"/>
  <mc:AlternateContent xmlns:mc="http://schemas.openxmlformats.org/markup-compatibility/2006">
    <mc:Choice Requires="x15">
      <x15ac:absPath xmlns:x15ac="http://schemas.microsoft.com/office/spreadsheetml/2010/11/ac" url="D:\0XR\code\XRDataProcess List\XRDataProcess\Output\报表模板\等级公路 JTG H20-2018\"/>
    </mc:Choice>
  </mc:AlternateContent>
  <xr:revisionPtr revIDLastSave="0" documentId="13_ncr:1_{A580F891-2DE8-4221-A34C-DA598FDA56BC}" xr6:coauthVersionLast="45" xr6:coauthVersionMax="45" xr10:uidLastSave="{00000000-0000-0000-0000-000000000000}"/>
  <bookViews>
    <workbookView xWindow="885" yWindow="1650" windowWidth="21600" windowHeight="11385" xr2:uid="{00000000-000D-0000-FFFF-FFFF00000000}"/>
  </bookViews>
  <sheets>
    <sheet name="沥青路面损坏调查表" sheetId="7" r:id="rId1"/>
    <sheet name="水泥路面损坏调查表" sheetId="8" r:id="rId2"/>
  </sheets>
  <calcPr calcId="191029"/>
</workbook>
</file>

<file path=xl/calcChain.xml><?xml version="1.0" encoding="utf-8"?>
<calcChain xmlns="http://schemas.openxmlformats.org/spreadsheetml/2006/main">
  <c r="D21" i="7" l="1"/>
  <c r="D20" i="8"/>
  <c r="P18" i="8" l="1"/>
  <c r="P17" i="8"/>
  <c r="P16" i="8"/>
  <c r="P15" i="8"/>
  <c r="P14" i="8"/>
  <c r="P13" i="8"/>
  <c r="P12" i="8"/>
  <c r="P11" i="8"/>
  <c r="P10" i="8"/>
  <c r="P9" i="8"/>
  <c r="P8" i="8"/>
  <c r="P7" i="8"/>
  <c r="Q21" i="8" s="1"/>
  <c r="H5" i="8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H5" i="7"/>
  <c r="D21" i="8" l="1"/>
  <c r="A19" i="8" s="1"/>
  <c r="D22" i="7"/>
  <c r="A20" i="7" s="1"/>
  <c r="C21" i="7"/>
  <c r="Q22" i="7" s="1"/>
  <c r="C22" i="7" l="1"/>
</calcChain>
</file>

<file path=xl/sharedStrings.xml><?xml version="1.0" encoding="utf-8"?>
<sst xmlns="http://schemas.openxmlformats.org/spreadsheetml/2006/main" count="108" uniqueCount="63">
  <si>
    <t>破碎板</t>
  </si>
  <si>
    <t>修补</t>
  </si>
  <si>
    <t>龟裂</t>
  </si>
  <si>
    <t>块状裂缝</t>
  </si>
  <si>
    <t>纵向裂缝</t>
  </si>
  <si>
    <t>横向裂缝</t>
  </si>
  <si>
    <t>坑槽</t>
  </si>
  <si>
    <t>松散</t>
  </si>
  <si>
    <t>沉陷</t>
  </si>
  <si>
    <t>车辙</t>
  </si>
  <si>
    <t>波浪拥包</t>
  </si>
  <si>
    <t>泛油</t>
  </si>
  <si>
    <t>沥青路面损坏调查表</t>
    <phoneticPr fontId="2" type="noConversion"/>
  </si>
  <si>
    <t>调查方向：</t>
    <phoneticPr fontId="2" type="noConversion"/>
  </si>
  <si>
    <t>调查时间：</t>
    <phoneticPr fontId="2" type="noConversion"/>
  </si>
  <si>
    <t>调查内容</t>
    <phoneticPr fontId="2" type="noConversion"/>
  </si>
  <si>
    <t>程度</t>
  </si>
  <si>
    <t>权重Wi</t>
  </si>
  <si>
    <t>单位</t>
  </si>
  <si>
    <t>起点桩号：</t>
    <phoneticPr fontId="2" type="noConversion"/>
  </si>
  <si>
    <t xml:space="preserve">     终点桩号：</t>
    <phoneticPr fontId="2" type="noConversion"/>
  </si>
  <si>
    <t>累计损坏</t>
  </si>
  <si>
    <t>路段长度(m)：</t>
    <phoneticPr fontId="2" type="noConversion"/>
  </si>
  <si>
    <t xml:space="preserve">      路面宽度(m)：</t>
    <phoneticPr fontId="2" type="noConversion"/>
  </si>
  <si>
    <r>
      <t>m</t>
    </r>
    <r>
      <rPr>
        <vertAlign val="superscript"/>
        <sz val="10"/>
        <rFont val="仿宋_GB2312"/>
        <family val="3"/>
        <charset val="134"/>
      </rPr>
      <t>2</t>
    </r>
    <phoneticPr fontId="2" type="noConversion"/>
  </si>
  <si>
    <t>---</t>
    <phoneticPr fontId="2" type="noConversion"/>
  </si>
  <si>
    <t>DR=</t>
  </si>
  <si>
    <t>PCI=</t>
  </si>
  <si>
    <t>水泥混凝土路面损坏调查表</t>
  </si>
  <si>
    <t>调查方向：</t>
    <phoneticPr fontId="2" type="noConversion"/>
  </si>
  <si>
    <t>调查时间：</t>
    <phoneticPr fontId="2" type="noConversion"/>
  </si>
  <si>
    <t>调查内容</t>
  </si>
  <si>
    <t>起点桩号：</t>
    <phoneticPr fontId="2" type="noConversion"/>
  </si>
  <si>
    <t xml:space="preserve">     终点桩号：</t>
    <phoneticPr fontId="2" type="noConversion"/>
  </si>
  <si>
    <t>路段长度(m)：</t>
    <phoneticPr fontId="2" type="noConversion"/>
  </si>
  <si>
    <t xml:space="preserve">      路面宽度(m)：</t>
    <phoneticPr fontId="2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</si>
  <si>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2" type="noConversion"/>
  </si>
  <si>
    <t>裂缝</t>
    <phoneticPr fontId="2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</si>
  <si>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2" type="noConversion"/>
  </si>
  <si>
    <t>板角裂缝</t>
    <phoneticPr fontId="2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</si>
  <si>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2" type="noConversion"/>
  </si>
  <si>
    <t>错台</t>
    <phoneticPr fontId="2" type="noConversion"/>
  </si>
  <si>
    <t>---</t>
    <phoneticPr fontId="2" type="noConversion"/>
  </si>
  <si>
    <t>边角剥落</t>
    <phoneticPr fontId="2" type="noConversion"/>
  </si>
  <si>
    <t>接缝料损坏</t>
    <phoneticPr fontId="2" type="noConversion"/>
  </si>
  <si>
    <t>坑洞</t>
    <phoneticPr fontId="2" type="noConversion"/>
  </si>
  <si>
    <t>拱起</t>
    <phoneticPr fontId="2" type="noConversion"/>
  </si>
  <si>
    <t>露骨</t>
    <phoneticPr fontId="2" type="noConversion"/>
  </si>
  <si>
    <t>修补</t>
    <phoneticPr fontId="2" type="noConversion"/>
  </si>
  <si>
    <t>唧泥</t>
    <phoneticPr fontId="2" type="noConversion"/>
  </si>
  <si>
    <t>块状</t>
    <phoneticPr fontId="2" type="noConversion"/>
  </si>
  <si>
    <t>条状</t>
    <phoneticPr fontId="2" type="noConversion"/>
  </si>
  <si>
    <t>---</t>
    <phoneticPr fontId="2" type="noConversion"/>
  </si>
  <si>
    <t>---</t>
    <phoneticPr fontId="2" type="noConversion"/>
  </si>
  <si>
    <t>轻</t>
    <phoneticPr fontId="2" type="noConversion"/>
  </si>
  <si>
    <t>重</t>
    <phoneticPr fontId="2" type="noConversion"/>
  </si>
  <si>
    <t>%</t>
    <phoneticPr fontId="2" type="noConversion"/>
  </si>
  <si>
    <t>%</t>
    <phoneticPr fontId="2" type="noConversion"/>
  </si>
  <si>
    <t>计算方法：依据JTG 5210-2018《公路技术状况评定标准》中公式7.4.5-1和公式7.4.5-2计算得出。</t>
    <phoneticPr fontId="2" type="noConversion"/>
  </si>
  <si>
    <t>路线代码名称：</t>
    <phoneticPr fontId="2" type="noConversion"/>
  </si>
  <si>
    <r>
      <rPr>
        <sz val="10"/>
        <rFont val="仿宋_GB2312"/>
        <charset val="134"/>
      </rPr>
      <t>块状m</t>
    </r>
    <r>
      <rPr>
        <vertAlign val="superscript"/>
        <sz val="10"/>
        <rFont val="仿宋_GB2312"/>
        <charset val="134"/>
      </rPr>
      <t>2</t>
    </r>
  </si>
  <si>
    <r>
      <rPr>
        <sz val="10"/>
        <rFont val="仿宋_GB2312"/>
        <charset val="134"/>
      </rPr>
      <t>条状m</t>
    </r>
    <r>
      <rPr>
        <vertAlign val="superscript"/>
        <sz val="10"/>
        <rFont val="仿宋_GB2312"/>
        <charset val="134"/>
      </rPr>
      <t>2</t>
    </r>
  </si>
  <si>
    <t>路线代码名称：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</si>
</sst>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K0\+000"/>
    <numFmt numFmtId="177" formatCode="0.00_ "/>
    <numFmt numFmtId="178" formatCode="0.00_);[Red]\(0.00\)"/>
    <numFmt numFmtId="179" formatCode="0000&quot;年&quot;00&quot;月&quot;00&quot;日&quot;"/>
    <numFmt numFmtId="180" formatCode="0.000_ "/>
    <numFmt numFmtId="181" formatCode="[$-F800]dddd\,\ mmmm\ dd\,\ yyyy"/>
    <numFmt numFmtId="182" formatCode="0.000_);[Red]\(0.000\)"/>
    <numFmt numFmtId="183" formatCode="0_);[Red]\(0\)"/>
    <numFmt numFmtId="184" formatCode="0.0_ "/>
    <numFmt numFmtId="185" formatCode="0.000"/>
    <numFmt numFmtId="186" formatCode="0.0"/>
  </numFmts>
  <fonts count="12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sz val="10"/>
      <name val="仿宋_GB2312"/>
      <family val="3"/>
      <charset val="134"/>
    </font>
    <font>
      <vertAlign val="superscript"/>
      <sz val="10"/>
      <name val="仿宋_GB2312"/>
      <family val="3"/>
      <charset val="134"/>
    </font>
    <font>
      <sz val="10"/>
      <name val="仿宋"/>
      <family val="3"/>
      <charset val="134"/>
    </font>
    <font>
      <sz val="9"/>
      <name val="仿宋"/>
      <family val="3"/>
      <charset val="134"/>
    </font>
    <font>
      <vertAlign val="superscript"/>
      <sz val="10"/>
      <name val="宋体"/>
      <family val="3"/>
      <charset val="134"/>
    </font>
    <font>
      <sz val="10"/>
      <name val="仿宋_GB2312"/>
      <charset val="134"/>
    </font>
    <font>
      <vertAlign val="superscript"/>
      <sz val="10"/>
      <name val="仿宋_GB2312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" fillId="0" borderId="0" xfId="2" applyFont="1"/>
    <xf numFmtId="0" fontId="1" fillId="0" borderId="0" xfId="1" applyFont="1">
      <alignment vertical="center"/>
    </xf>
    <xf numFmtId="0" fontId="4" fillId="0" borderId="3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</xf>
    <xf numFmtId="0" fontId="4" fillId="0" borderId="3" xfId="1" applyFont="1" applyBorder="1" applyAlignment="1" applyProtection="1">
      <alignment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184" fontId="5" fillId="0" borderId="2" xfId="1" applyNumberFormat="1" applyFont="1" applyBorder="1" applyAlignment="1">
      <alignment horizontal="center" vertical="center"/>
    </xf>
    <xf numFmtId="180" fontId="7" fillId="0" borderId="2" xfId="2" applyNumberFormat="1" applyFont="1" applyBorder="1" applyAlignment="1" applyProtection="1">
      <alignment horizontal="center" vertical="center"/>
      <protection locked="0"/>
    </xf>
    <xf numFmtId="182" fontId="5" fillId="0" borderId="2" xfId="1" applyNumberFormat="1" applyFont="1" applyBorder="1" applyAlignment="1" applyProtection="1">
      <alignment horizontal="center" vertical="center"/>
    </xf>
    <xf numFmtId="180" fontId="8" fillId="0" borderId="2" xfId="2" applyNumberFormat="1" applyFont="1" applyBorder="1" applyAlignment="1" applyProtection="1">
      <alignment horizontal="center" vertical="center"/>
      <protection locked="0"/>
    </xf>
    <xf numFmtId="180" fontId="5" fillId="0" borderId="2" xfId="1" quotePrefix="1" applyNumberFormat="1" applyFont="1" applyBorder="1" applyAlignment="1" applyProtection="1">
      <alignment horizontal="center" vertical="center"/>
      <protection locked="0"/>
    </xf>
    <xf numFmtId="178" fontId="5" fillId="0" borderId="0" xfId="1" applyNumberFormat="1" applyFont="1" applyBorder="1" applyAlignment="1" applyProtection="1">
      <alignment horizontal="left" vertical="center"/>
    </xf>
    <xf numFmtId="185" fontId="1" fillId="0" borderId="0" xfId="1" applyNumberFormat="1" applyFont="1">
      <alignment vertical="center"/>
    </xf>
    <xf numFmtId="186" fontId="1" fillId="0" borderId="0" xfId="1" applyNumberFormat="1" applyFont="1">
      <alignment vertical="center"/>
    </xf>
    <xf numFmtId="184" fontId="1" fillId="0" borderId="0" xfId="1" applyNumberFormat="1" applyFont="1">
      <alignment vertical="center"/>
    </xf>
    <xf numFmtId="182" fontId="1" fillId="0" borderId="0" xfId="1" applyNumberFormat="1" applyFont="1">
      <alignment vertical="center"/>
    </xf>
    <xf numFmtId="0" fontId="1" fillId="0" borderId="0" xfId="5" applyFont="1">
      <alignment vertical="center"/>
    </xf>
    <xf numFmtId="0" fontId="2" fillId="0" borderId="3" xfId="5" applyFont="1" applyBorder="1" applyAlignment="1" applyProtection="1">
      <alignment horizontal="left" vertical="center" wrapText="1"/>
      <protection locked="0"/>
    </xf>
    <xf numFmtId="0" fontId="4" fillId="0" borderId="1" xfId="5" applyFont="1" applyBorder="1" applyAlignment="1" applyProtection="1">
      <alignment horizontal="left" vertical="center" wrapText="1"/>
    </xf>
    <xf numFmtId="0" fontId="4" fillId="0" borderId="3" xfId="5" applyFont="1" applyBorder="1" applyAlignment="1" applyProtection="1">
      <alignment vertical="center"/>
      <protection locked="0"/>
    </xf>
    <xf numFmtId="0" fontId="4" fillId="0" borderId="1" xfId="5" applyFont="1" applyBorder="1" applyAlignment="1" applyProtection="1">
      <alignment vertical="center"/>
      <protection locked="0"/>
    </xf>
    <xf numFmtId="0" fontId="4" fillId="0" borderId="2" xfId="5" applyFont="1" applyBorder="1" applyAlignment="1" applyProtection="1">
      <alignment horizontal="center" vertical="center"/>
      <protection locked="0"/>
    </xf>
    <xf numFmtId="184" fontId="4" fillId="0" borderId="2" xfId="3" applyNumberFormat="1" applyFont="1" applyBorder="1" applyAlignment="1">
      <alignment horizontal="center" vertical="center"/>
    </xf>
    <xf numFmtId="180" fontId="5" fillId="0" borderId="2" xfId="3" applyNumberFormat="1" applyFont="1" applyBorder="1" applyAlignment="1" applyProtection="1">
      <alignment horizontal="center" vertical="center"/>
      <protection locked="0"/>
    </xf>
    <xf numFmtId="180" fontId="5" fillId="0" borderId="2" xfId="5" applyNumberFormat="1" applyFont="1" applyBorder="1" applyAlignment="1" applyProtection="1">
      <alignment horizontal="center" vertical="center"/>
    </xf>
    <xf numFmtId="177" fontId="1" fillId="0" borderId="0" xfId="5" applyNumberFormat="1" applyFont="1">
      <alignment vertical="center"/>
    </xf>
    <xf numFmtId="180" fontId="4" fillId="0" borderId="2" xfId="5" quotePrefix="1" applyNumberFormat="1" applyFont="1" applyBorder="1" applyAlignment="1" applyProtection="1">
      <alignment horizontal="center" vertical="center"/>
      <protection locked="0"/>
    </xf>
    <xf numFmtId="184" fontId="4" fillId="0" borderId="5" xfId="3" applyNumberFormat="1" applyFont="1" applyBorder="1" applyAlignment="1">
      <alignment horizontal="center" vertical="center"/>
    </xf>
    <xf numFmtId="0" fontId="4" fillId="0" borderId="5" xfId="3" applyFont="1" applyBorder="1" applyAlignment="1" applyProtection="1">
      <alignment horizontal="center" vertical="center"/>
      <protection locked="0"/>
    </xf>
    <xf numFmtId="186" fontId="1" fillId="0" borderId="0" xfId="5" applyNumberFormat="1" applyFont="1">
      <alignment vertical="center"/>
    </xf>
    <xf numFmtId="182" fontId="1" fillId="0" borderId="0" xfId="5" applyNumberFormat="1" applyFont="1">
      <alignment vertical="center"/>
    </xf>
    <xf numFmtId="184" fontId="1" fillId="0" borderId="0" xfId="5" applyNumberFormat="1" applyFont="1">
      <alignment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4" fillId="0" borderId="2" xfId="3" applyFont="1" applyBorder="1" applyAlignment="1" applyProtection="1">
      <alignment horizontal="center" vertical="center"/>
      <protection locked="0"/>
    </xf>
    <xf numFmtId="180" fontId="4" fillId="0" borderId="2" xfId="3" quotePrefix="1" applyNumberFormat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184" fontId="5" fillId="0" borderId="4" xfId="1" applyNumberFormat="1" applyFont="1" applyBorder="1" applyAlignment="1" applyProtection="1">
      <alignment vertical="center"/>
    </xf>
    <xf numFmtId="184" fontId="4" fillId="0" borderId="4" xfId="5" applyNumberFormat="1" applyFont="1" applyBorder="1" applyAlignment="1" applyProtection="1">
      <alignment vertical="center"/>
    </xf>
    <xf numFmtId="184" fontId="4" fillId="0" borderId="15" xfId="5" applyNumberFormat="1" applyFont="1" applyBorder="1" applyAlignment="1" applyProtection="1">
      <alignment vertical="center"/>
    </xf>
    <xf numFmtId="0" fontId="1" fillId="0" borderId="0" xfId="5" applyFont="1" applyAlignment="1">
      <alignment horizontal="center" vertical="center"/>
    </xf>
    <xf numFmtId="0" fontId="4" fillId="0" borderId="3" xfId="1" applyFont="1" applyBorder="1" applyAlignment="1" applyProtection="1">
      <alignment horizontal="center" vertical="center"/>
      <protection locked="0"/>
    </xf>
    <xf numFmtId="0" fontId="1" fillId="0" borderId="0" xfId="1" applyFont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  <protection locked="0"/>
    </xf>
    <xf numFmtId="184" fontId="5" fillId="0" borderId="15" xfId="1" applyNumberFormat="1" applyFont="1" applyBorder="1" applyAlignment="1" applyProtection="1">
      <alignment horizontal="center" vertical="center"/>
    </xf>
    <xf numFmtId="0" fontId="5" fillId="0" borderId="12" xfId="1" applyFont="1" applyBorder="1" applyAlignment="1" applyProtection="1">
      <alignment horizontal="left" vertical="center"/>
      <protection locked="0"/>
    </xf>
    <xf numFmtId="0" fontId="4" fillId="0" borderId="0" xfId="5" applyFont="1" applyBorder="1" applyAlignment="1" applyProtection="1">
      <alignment horizontal="left" vertical="center"/>
      <protection locked="0"/>
    </xf>
    <xf numFmtId="177" fontId="4" fillId="0" borderId="4" xfId="5" applyNumberFormat="1" applyFont="1" applyBorder="1" applyAlignment="1" applyProtection="1">
      <alignment horizontal="center" vertical="center"/>
    </xf>
    <xf numFmtId="177" fontId="5" fillId="0" borderId="4" xfId="1" applyNumberFormat="1" applyFont="1" applyBorder="1" applyAlignment="1" applyProtection="1">
      <alignment horizontal="center" vertical="center"/>
    </xf>
    <xf numFmtId="0" fontId="10" fillId="0" borderId="2" xfId="1" applyFont="1" applyBorder="1" applyAlignment="1" applyProtection="1">
      <alignment horizontal="center" vertical="center"/>
      <protection locked="0"/>
    </xf>
    <xf numFmtId="180" fontId="4" fillId="0" borderId="0" xfId="1" applyNumberFormat="1" applyFont="1" applyBorder="1" applyAlignment="1" applyProtection="1">
      <alignment horizontal="center" vertical="center"/>
    </xf>
    <xf numFmtId="180" fontId="5" fillId="0" borderId="0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9" xfId="1" applyFont="1" applyBorder="1" applyAlignment="1" applyProtection="1">
      <alignment horizontal="left" vertical="center" wrapText="1"/>
      <protection locked="0"/>
    </xf>
    <xf numFmtId="0" fontId="5" fillId="0" borderId="7" xfId="1" applyFont="1" applyBorder="1" applyAlignment="1" applyProtection="1">
      <alignment horizontal="left" vertical="center" wrapText="1"/>
      <protection locked="0"/>
    </xf>
    <xf numFmtId="0" fontId="5" fillId="0" borderId="10" xfId="1" applyFont="1" applyBorder="1" applyAlignment="1" applyProtection="1">
      <alignment horizontal="left" vertical="center" wrapText="1"/>
      <protection locked="0"/>
    </xf>
    <xf numFmtId="0" fontId="5" fillId="0" borderId="11" xfId="1" applyFont="1" applyBorder="1" applyAlignment="1" applyProtection="1">
      <alignment horizontal="left" vertical="center" wrapText="1"/>
      <protection locked="0"/>
    </xf>
    <xf numFmtId="0" fontId="5" fillId="0" borderId="0" xfId="1" applyFont="1" applyBorder="1" applyAlignment="1" applyProtection="1">
      <alignment horizontal="left" vertical="center" wrapText="1"/>
      <protection locked="0"/>
    </xf>
    <xf numFmtId="0" fontId="5" fillId="0" borderId="12" xfId="1" applyFont="1" applyBorder="1" applyAlignment="1" applyProtection="1">
      <alignment horizontal="left" vertical="center" wrapText="1"/>
      <protection locked="0"/>
    </xf>
    <xf numFmtId="0" fontId="5" fillId="0" borderId="14" xfId="1" applyFont="1" applyBorder="1" applyAlignment="1" applyProtection="1">
      <alignment horizontal="left" vertical="center" wrapText="1"/>
      <protection locked="0"/>
    </xf>
    <xf numFmtId="0" fontId="5" fillId="0" borderId="4" xfId="1" applyFont="1" applyBorder="1" applyAlignment="1" applyProtection="1">
      <alignment horizontal="left" vertical="center" wrapText="1"/>
      <protection locked="0"/>
    </xf>
    <xf numFmtId="0" fontId="5" fillId="0" borderId="15" xfId="1" applyFont="1" applyBorder="1" applyAlignment="1" applyProtection="1">
      <alignment horizontal="left" vertical="center" wrapText="1"/>
      <protection locked="0"/>
    </xf>
    <xf numFmtId="0" fontId="5" fillId="0" borderId="11" xfId="1" applyFont="1" applyBorder="1" applyAlignment="1" applyProtection="1">
      <alignment horizontal="right" vertical="center"/>
      <protection locked="0"/>
    </xf>
    <xf numFmtId="0" fontId="5" fillId="0" borderId="0" xfId="1" applyFont="1" applyBorder="1" applyAlignment="1" applyProtection="1">
      <alignment horizontal="right" vertical="center"/>
      <protection locked="0"/>
    </xf>
    <xf numFmtId="0" fontId="5" fillId="0" borderId="14" xfId="1" applyFont="1" applyBorder="1" applyAlignment="1" applyProtection="1">
      <alignment horizontal="right" vertical="center"/>
      <protection locked="0"/>
    </xf>
    <xf numFmtId="0" fontId="5" fillId="0" borderId="4" xfId="1" applyFont="1" applyBorder="1" applyAlignment="1" applyProtection="1">
      <alignment horizontal="right" vertical="center"/>
      <protection locked="0"/>
    </xf>
    <xf numFmtId="0" fontId="5" fillId="0" borderId="14" xfId="1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right" vertical="center"/>
      <protection locked="0"/>
    </xf>
    <xf numFmtId="0" fontId="4" fillId="0" borderId="8" xfId="1" applyFont="1" applyBorder="1" applyAlignment="1" applyProtection="1">
      <alignment horizontal="right" vertical="center"/>
      <protection locked="0"/>
    </xf>
    <xf numFmtId="179" fontId="4" fillId="0" borderId="8" xfId="1" applyNumberFormat="1" applyFont="1" applyBorder="1" applyAlignment="1" applyProtection="1">
      <alignment horizontal="left" vertical="center"/>
    </xf>
    <xf numFmtId="179" fontId="4" fillId="0" borderId="1" xfId="1" applyNumberFormat="1" applyFont="1" applyBorder="1" applyAlignment="1" applyProtection="1">
      <alignment horizontal="left" vertical="center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4" xfId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/>
      <protection locked="0"/>
    </xf>
    <xf numFmtId="180" fontId="4" fillId="0" borderId="5" xfId="1" applyNumberFormat="1" applyFont="1" applyBorder="1" applyAlignment="1" applyProtection="1">
      <alignment horizontal="center" vertical="center" wrapText="1"/>
      <protection locked="0"/>
    </xf>
    <xf numFmtId="180" fontId="4" fillId="0" borderId="13" xfId="1" applyNumberFormat="1" applyFont="1" applyBorder="1" applyAlignment="1" applyProtection="1">
      <alignment horizontal="center" vertical="center" wrapText="1"/>
      <protection locked="0"/>
    </xf>
    <xf numFmtId="180" fontId="4" fillId="0" borderId="6" xfId="1" applyNumberFormat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181" fontId="4" fillId="0" borderId="3" xfId="1" applyNumberFormat="1" applyFont="1" applyBorder="1" applyAlignment="1" applyProtection="1">
      <alignment horizontal="right" vertical="center"/>
      <protection locked="0"/>
    </xf>
    <xf numFmtId="181" fontId="4" fillId="0" borderId="8" xfId="1" applyNumberFormat="1" applyFont="1" applyBorder="1" applyAlignment="1" applyProtection="1">
      <alignment horizontal="right" vertical="center"/>
      <protection locked="0"/>
    </xf>
    <xf numFmtId="176" fontId="4" fillId="0" borderId="8" xfId="1" applyNumberFormat="1" applyFont="1" applyBorder="1" applyAlignment="1" applyProtection="1">
      <alignment horizontal="left" vertical="center"/>
    </xf>
    <xf numFmtId="176" fontId="4" fillId="0" borderId="1" xfId="1" applyNumberFormat="1" applyFont="1" applyBorder="1" applyAlignment="1" applyProtection="1">
      <alignment horizontal="left" vertical="center"/>
    </xf>
    <xf numFmtId="182" fontId="4" fillId="0" borderId="5" xfId="1" applyNumberFormat="1" applyFont="1" applyBorder="1" applyAlignment="1" applyProtection="1">
      <alignment horizontal="center" vertical="center" wrapText="1"/>
      <protection locked="0"/>
    </xf>
    <xf numFmtId="182" fontId="4" fillId="0" borderId="13" xfId="1" applyNumberFormat="1" applyFont="1" applyBorder="1" applyAlignment="1" applyProtection="1">
      <alignment horizontal="center" vertical="center" wrapText="1"/>
      <protection locked="0"/>
    </xf>
    <xf numFmtId="182" fontId="4" fillId="0" borderId="6" xfId="1" applyNumberFormat="1" applyFont="1" applyBorder="1" applyAlignment="1" applyProtection="1">
      <alignment horizontal="center" vertical="center" wrapText="1"/>
      <protection locked="0"/>
    </xf>
    <xf numFmtId="183" fontId="4" fillId="0" borderId="8" xfId="1" applyNumberFormat="1" applyFont="1" applyBorder="1" applyAlignment="1" applyProtection="1">
      <alignment horizontal="left" vertical="center"/>
    </xf>
    <xf numFmtId="0" fontId="4" fillId="0" borderId="8" xfId="1" applyFont="1" applyBorder="1" applyAlignment="1" applyProtection="1">
      <alignment horizontal="left" vertical="center"/>
    </xf>
    <xf numFmtId="0" fontId="4" fillId="0" borderId="1" xfId="1" applyFont="1" applyBorder="1" applyAlignment="1" applyProtection="1">
      <alignment horizontal="left" vertical="center"/>
    </xf>
    <xf numFmtId="176" fontId="4" fillId="0" borderId="8" xfId="5" applyNumberFormat="1" applyFont="1" applyBorder="1" applyAlignment="1" applyProtection="1">
      <alignment horizontal="left" vertical="center"/>
    </xf>
    <xf numFmtId="176" fontId="4" fillId="0" borderId="1" xfId="5" applyNumberFormat="1" applyFont="1" applyBorder="1" applyAlignment="1" applyProtection="1">
      <alignment horizontal="left" vertical="center"/>
    </xf>
    <xf numFmtId="0" fontId="4" fillId="0" borderId="5" xfId="5" applyFont="1" applyBorder="1" applyAlignment="1" applyProtection="1">
      <alignment horizontal="center" vertical="center" wrapText="1"/>
      <protection locked="0"/>
    </xf>
    <xf numFmtId="0" fontId="4" fillId="0" borderId="13" xfId="5" applyFont="1" applyBorder="1" applyAlignment="1" applyProtection="1">
      <alignment horizontal="center" vertical="center" wrapText="1"/>
      <protection locked="0"/>
    </xf>
    <xf numFmtId="0" fontId="4" fillId="0" borderId="6" xfId="5" applyFont="1" applyBorder="1" applyAlignment="1" applyProtection="1">
      <alignment horizontal="center" vertical="center" wrapText="1"/>
      <protection locked="0"/>
    </xf>
    <xf numFmtId="0" fontId="4" fillId="0" borderId="3" xfId="5" applyFont="1" applyBorder="1" applyAlignment="1" applyProtection="1">
      <alignment horizontal="right" vertical="center"/>
      <protection locked="0"/>
    </xf>
    <xf numFmtId="0" fontId="4" fillId="0" borderId="8" xfId="5" applyFont="1" applyBorder="1" applyAlignment="1" applyProtection="1">
      <alignment horizontal="right" vertical="center"/>
      <protection locked="0"/>
    </xf>
    <xf numFmtId="0" fontId="4" fillId="0" borderId="3" xfId="5" applyFont="1" applyBorder="1" applyAlignment="1" applyProtection="1">
      <alignment horizontal="center" vertical="center"/>
      <protection locked="0"/>
    </xf>
    <xf numFmtId="0" fontId="4" fillId="0" borderId="1" xfId="5" applyFont="1" applyBorder="1" applyAlignment="1" applyProtection="1">
      <alignment horizontal="center" vertical="center"/>
      <protection locked="0"/>
    </xf>
    <xf numFmtId="181" fontId="4" fillId="0" borderId="3" xfId="5" applyNumberFormat="1" applyFont="1" applyBorder="1" applyAlignment="1" applyProtection="1">
      <alignment horizontal="right" vertical="center"/>
      <protection locked="0"/>
    </xf>
    <xf numFmtId="181" fontId="4" fillId="0" borderId="8" xfId="5" applyNumberFormat="1" applyFont="1" applyBorder="1" applyAlignment="1" applyProtection="1">
      <alignment horizontal="right" vertical="center"/>
      <protection locked="0"/>
    </xf>
    <xf numFmtId="0" fontId="4" fillId="0" borderId="9" xfId="5" applyFont="1" applyBorder="1" applyAlignment="1" applyProtection="1">
      <alignment horizontal="center" vertical="center"/>
      <protection locked="0"/>
    </xf>
    <xf numFmtId="0" fontId="4" fillId="0" borderId="7" xfId="5" applyFont="1" applyBorder="1" applyAlignment="1" applyProtection="1">
      <alignment horizontal="center" vertical="center"/>
      <protection locked="0"/>
    </xf>
    <xf numFmtId="0" fontId="4" fillId="0" borderId="10" xfId="5" applyFont="1" applyBorder="1" applyAlignment="1" applyProtection="1">
      <alignment horizontal="center" vertical="center"/>
      <protection locked="0"/>
    </xf>
    <xf numFmtId="0" fontId="4" fillId="0" borderId="11" xfId="5" applyFont="1" applyBorder="1" applyAlignment="1" applyProtection="1">
      <alignment horizontal="right" vertical="center"/>
      <protection locked="0"/>
    </xf>
    <xf numFmtId="0" fontId="4" fillId="0" borderId="0" xfId="5" applyFont="1" applyBorder="1" applyAlignment="1" applyProtection="1">
      <alignment horizontal="right" vertical="center"/>
      <protection locked="0"/>
    </xf>
    <xf numFmtId="0" fontId="4" fillId="0" borderId="14" xfId="5" applyFont="1" applyBorder="1" applyAlignment="1" applyProtection="1">
      <alignment horizontal="right" vertical="center"/>
      <protection locked="0"/>
    </xf>
    <xf numFmtId="0" fontId="4" fillId="0" borderId="4" xfId="5" applyFont="1" applyBorder="1" applyAlignment="1" applyProtection="1">
      <alignment horizontal="right" vertical="center"/>
      <protection locked="0"/>
    </xf>
    <xf numFmtId="0" fontId="4" fillId="0" borderId="9" xfId="3" applyFont="1" applyBorder="1" applyAlignment="1" applyProtection="1">
      <alignment horizontal="center" vertical="center"/>
      <protection locked="0"/>
    </xf>
    <xf numFmtId="0" fontId="4" fillId="0" borderId="10" xfId="3" applyFont="1" applyBorder="1" applyAlignment="1" applyProtection="1">
      <alignment horizontal="center" vertical="center"/>
      <protection locked="0"/>
    </xf>
    <xf numFmtId="0" fontId="4" fillId="0" borderId="14" xfId="3" applyFont="1" applyBorder="1" applyAlignment="1" applyProtection="1">
      <alignment horizontal="center" vertical="center"/>
      <protection locked="0"/>
    </xf>
    <xf numFmtId="0" fontId="4" fillId="0" borderId="15" xfId="3" applyFont="1" applyBorder="1" applyAlignment="1" applyProtection="1">
      <alignment horizontal="center" vertical="center"/>
      <protection locked="0"/>
    </xf>
    <xf numFmtId="0" fontId="3" fillId="0" borderId="0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4" fillId="0" borderId="3" xfId="3" applyFont="1" applyBorder="1" applyAlignment="1" applyProtection="1">
      <alignment horizontal="center" vertical="center"/>
      <protection locked="0"/>
    </xf>
    <xf numFmtId="0" fontId="4" fillId="0" borderId="1" xfId="3" applyFont="1" applyBorder="1" applyAlignment="1" applyProtection="1">
      <alignment horizontal="center" vertical="center"/>
      <protection locked="0"/>
    </xf>
    <xf numFmtId="183" fontId="4" fillId="0" borderId="8" xfId="5" applyNumberFormat="1" applyFont="1" applyBorder="1" applyAlignment="1" applyProtection="1">
      <alignment horizontal="left" vertical="center"/>
    </xf>
    <xf numFmtId="0" fontId="4" fillId="0" borderId="8" xfId="5" applyFont="1" applyBorder="1" applyAlignment="1" applyProtection="1">
      <alignment horizontal="left" vertical="center"/>
    </xf>
    <xf numFmtId="0" fontId="4" fillId="0" borderId="1" xfId="5" applyFont="1" applyBorder="1" applyAlignment="1" applyProtection="1">
      <alignment horizontal="left" vertical="center"/>
    </xf>
    <xf numFmtId="179" fontId="4" fillId="0" borderId="8" xfId="5" applyNumberFormat="1" applyFont="1" applyBorder="1" applyAlignment="1" applyProtection="1">
      <alignment horizontal="left" vertical="center"/>
    </xf>
    <xf numFmtId="179" fontId="4" fillId="0" borderId="1" xfId="5" applyNumberFormat="1" applyFont="1" applyBorder="1" applyAlignment="1" applyProtection="1">
      <alignment horizontal="left" vertical="center"/>
    </xf>
    <xf numFmtId="0" fontId="4" fillId="0" borderId="11" xfId="5" applyFont="1" applyBorder="1" applyAlignment="1" applyProtection="1">
      <alignment horizontal="center" vertical="center"/>
      <protection locked="0"/>
    </xf>
    <xf numFmtId="0" fontId="4" fillId="0" borderId="12" xfId="5" applyFont="1" applyBorder="1" applyAlignment="1" applyProtection="1">
      <alignment horizontal="center" vertical="center"/>
      <protection locked="0"/>
    </xf>
    <xf numFmtId="0" fontId="4" fillId="0" borderId="14" xfId="5" applyFont="1" applyBorder="1" applyAlignment="1" applyProtection="1">
      <alignment horizontal="center" vertical="center"/>
      <protection locked="0"/>
    </xf>
    <xf numFmtId="0" fontId="4" fillId="0" borderId="15" xfId="5" applyFont="1" applyBorder="1" applyAlignment="1" applyProtection="1">
      <alignment horizontal="center" vertical="center"/>
      <protection locked="0"/>
    </xf>
    <xf numFmtId="180" fontId="4" fillId="0" borderId="5" xfId="5" applyNumberFormat="1" applyFont="1" applyBorder="1" applyAlignment="1" applyProtection="1">
      <alignment horizontal="center" vertical="center" wrapText="1"/>
      <protection locked="0"/>
    </xf>
    <xf numFmtId="180" fontId="4" fillId="0" borderId="13" xfId="5" applyNumberFormat="1" applyFont="1" applyBorder="1" applyAlignment="1" applyProtection="1">
      <alignment horizontal="center" vertical="center" wrapText="1"/>
      <protection locked="0"/>
    </xf>
    <xf numFmtId="180" fontId="4" fillId="0" borderId="6" xfId="5" applyNumberFormat="1" applyFont="1" applyBorder="1" applyAlignment="1" applyProtection="1">
      <alignment horizontal="center" vertical="center" wrapText="1"/>
      <protection locked="0"/>
    </xf>
  </cellXfs>
  <cellStyles count="7">
    <cellStyle name="常规" xfId="0" builtinId="0"/>
    <cellStyle name="常规 2" xfId="2" xr:uid="{00000000-0005-0000-0000-000001000000}"/>
    <cellStyle name="常规 2 2" xfId="3" xr:uid="{00000000-0005-0000-0000-000002000000}"/>
    <cellStyle name="常规 3" xfId="4" xr:uid="{00000000-0005-0000-0000-000003000000}"/>
    <cellStyle name="常规 4" xfId="6" xr:uid="{00000000-0005-0000-0000-000004000000}"/>
    <cellStyle name="常规_S231破损100m" xfId="1" xr:uid="{00000000-0005-0000-0000-000005000000}"/>
    <cellStyle name="常规_S231破损100m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topLeftCell="A7" zoomScaleNormal="100" workbookViewId="0">
      <selection activeCell="I8" sqref="I8"/>
    </sheetView>
  </sheetViews>
  <sheetFormatPr defaultRowHeight="15.75" customHeight="1"/>
  <cols>
    <col min="1" max="1" width="13.75" style="2" customWidth="1"/>
    <col min="2" max="2" width="11.75" style="2" customWidth="1"/>
    <col min="3" max="3" width="5.125" style="2" hidden="1" customWidth="1"/>
    <col min="4" max="5" width="10.75" style="42" customWidth="1"/>
    <col min="6" max="15" width="10.75" style="2" customWidth="1"/>
    <col min="16" max="16" width="16.75" style="16" customWidth="1"/>
    <col min="17" max="17" width="7.875" style="1" hidden="1" customWidth="1"/>
    <col min="18" max="19" width="7.875" style="2" customWidth="1"/>
    <col min="20" max="21" width="9" style="2" customWidth="1"/>
    <col min="22" max="16384" width="9" style="2"/>
  </cols>
  <sheetData>
    <row r="1" spans="1:17" ht="15.75" customHeight="1">
      <c r="A1" s="52" t="s">
        <v>12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7" ht="15.7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7" ht="15.75" customHeight="1">
      <c r="A3" s="3" t="s">
        <v>62</v>
      </c>
      <c r="B3" s="4"/>
      <c r="C3" s="5" t="s">
        <v>13</v>
      </c>
      <c r="D3" s="41" t="s">
        <v>13</v>
      </c>
      <c r="E3" s="43"/>
      <c r="F3" s="74" t="s">
        <v>14</v>
      </c>
      <c r="G3" s="75"/>
      <c r="H3" s="76"/>
      <c r="I3" s="76"/>
      <c r="J3" s="76"/>
      <c r="K3" s="76"/>
      <c r="L3" s="76"/>
      <c r="M3" s="76"/>
      <c r="N3" s="76"/>
      <c r="O3" s="76"/>
      <c r="P3" s="77"/>
      <c r="Q3" s="2"/>
    </row>
    <row r="4" spans="1:17" ht="15.75" customHeight="1">
      <c r="A4" s="78" t="s">
        <v>15</v>
      </c>
      <c r="B4" s="79"/>
      <c r="C4" s="84" t="s">
        <v>16</v>
      </c>
      <c r="D4" s="87" t="s">
        <v>17</v>
      </c>
      <c r="E4" s="87" t="s">
        <v>18</v>
      </c>
      <c r="F4" s="90" t="s">
        <v>19</v>
      </c>
      <c r="G4" s="91"/>
      <c r="H4" s="92"/>
      <c r="I4" s="92"/>
      <c r="J4" s="92"/>
      <c r="K4" s="91" t="s">
        <v>20</v>
      </c>
      <c r="L4" s="91"/>
      <c r="M4" s="92"/>
      <c r="N4" s="92"/>
      <c r="O4" s="93"/>
      <c r="P4" s="94" t="s">
        <v>21</v>
      </c>
      <c r="Q4" s="2"/>
    </row>
    <row r="5" spans="1:17" ht="15.75" customHeight="1">
      <c r="A5" s="80"/>
      <c r="B5" s="81"/>
      <c r="C5" s="85"/>
      <c r="D5" s="88"/>
      <c r="E5" s="88"/>
      <c r="F5" s="74" t="s">
        <v>22</v>
      </c>
      <c r="G5" s="75"/>
      <c r="H5" s="97">
        <f>ABS(M4-H4)</f>
        <v>0</v>
      </c>
      <c r="I5" s="97"/>
      <c r="J5" s="97"/>
      <c r="K5" s="75" t="s">
        <v>23</v>
      </c>
      <c r="L5" s="75"/>
      <c r="M5" s="98">
        <v>3.75</v>
      </c>
      <c r="N5" s="98"/>
      <c r="O5" s="99"/>
      <c r="P5" s="95"/>
      <c r="Q5" s="2"/>
    </row>
    <row r="6" spans="1:17" ht="15.75" customHeight="1">
      <c r="A6" s="82"/>
      <c r="B6" s="83"/>
      <c r="C6" s="86"/>
      <c r="D6" s="89"/>
      <c r="E6" s="89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96"/>
      <c r="Q6" s="2"/>
    </row>
    <row r="7" spans="1:17" ht="15.75" customHeight="1">
      <c r="A7" s="54" t="s">
        <v>2</v>
      </c>
      <c r="B7" s="55"/>
      <c r="C7" s="11" t="s">
        <v>25</v>
      </c>
      <c r="D7" s="7">
        <v>1</v>
      </c>
      <c r="E7" s="36" t="s">
        <v>24</v>
      </c>
      <c r="F7" s="8"/>
      <c r="G7" s="8"/>
      <c r="H7" s="8"/>
      <c r="I7" s="8"/>
      <c r="J7" s="8"/>
      <c r="K7" s="8"/>
      <c r="L7" s="8"/>
      <c r="M7" s="8"/>
      <c r="N7" s="8"/>
      <c r="O7" s="8"/>
      <c r="P7" s="9">
        <f>ROUND(SUM(F7:O7),3)</f>
        <v>0</v>
      </c>
      <c r="Q7" s="2"/>
    </row>
    <row r="8" spans="1:17" ht="15.75" customHeight="1">
      <c r="A8" s="54" t="s">
        <v>3</v>
      </c>
      <c r="B8" s="55"/>
      <c r="C8" s="11" t="s">
        <v>25</v>
      </c>
      <c r="D8" s="7">
        <v>1</v>
      </c>
      <c r="E8" s="36" t="s">
        <v>24</v>
      </c>
      <c r="F8" s="8"/>
      <c r="G8" s="8"/>
      <c r="H8" s="8"/>
      <c r="I8" s="8"/>
      <c r="J8" s="8"/>
      <c r="K8" s="8"/>
      <c r="L8" s="8"/>
      <c r="M8" s="8"/>
      <c r="N8" s="8"/>
      <c r="O8" s="8"/>
      <c r="P8" s="9">
        <f t="shared" ref="P8:P19" si="0">ROUND(SUM(F8:O8),3)</f>
        <v>0</v>
      </c>
      <c r="Q8" s="2"/>
    </row>
    <row r="9" spans="1:17" ht="15.75" customHeight="1">
      <c r="A9" s="54" t="s">
        <v>4</v>
      </c>
      <c r="B9" s="55"/>
      <c r="C9" s="11" t="s">
        <v>25</v>
      </c>
      <c r="D9" s="7">
        <v>2</v>
      </c>
      <c r="E9" s="36" t="s">
        <v>24</v>
      </c>
      <c r="F9" s="8"/>
      <c r="G9" s="8"/>
      <c r="H9" s="8"/>
      <c r="I9" s="8"/>
      <c r="J9" s="8"/>
      <c r="K9" s="8"/>
      <c r="L9" s="8"/>
      <c r="M9" s="8"/>
      <c r="N9" s="8"/>
      <c r="O9" s="8"/>
      <c r="P9" s="9">
        <f t="shared" si="0"/>
        <v>0</v>
      </c>
      <c r="Q9" s="2"/>
    </row>
    <row r="10" spans="1:17" ht="22.5" customHeight="1">
      <c r="A10" s="54" t="s">
        <v>5</v>
      </c>
      <c r="B10" s="55"/>
      <c r="C10" s="11" t="s">
        <v>25</v>
      </c>
      <c r="D10" s="7">
        <v>2</v>
      </c>
      <c r="E10" s="36" t="s">
        <v>24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9">
        <f t="shared" si="0"/>
        <v>0</v>
      </c>
      <c r="Q10" s="2"/>
    </row>
    <row r="11" spans="1:17" ht="22.5" customHeight="1">
      <c r="A11" s="54" t="s">
        <v>8</v>
      </c>
      <c r="B11" s="55"/>
      <c r="C11" s="11" t="s">
        <v>25</v>
      </c>
      <c r="D11" s="7">
        <v>1</v>
      </c>
      <c r="E11" s="36" t="s">
        <v>24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9">
        <f>ROUND(SUM(F11:O11),3)</f>
        <v>0</v>
      </c>
      <c r="Q11" s="2"/>
    </row>
    <row r="12" spans="1:17" ht="22.5" customHeight="1">
      <c r="A12" s="56" t="s">
        <v>9</v>
      </c>
      <c r="B12" s="58"/>
      <c r="C12" s="11" t="s">
        <v>54</v>
      </c>
      <c r="D12" s="7">
        <v>0.6</v>
      </c>
      <c r="E12" s="36" t="s">
        <v>24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9">
        <f>ROUND(SUM(F12:O12),3)</f>
        <v>0</v>
      </c>
      <c r="Q12" s="2"/>
    </row>
    <row r="13" spans="1:17" ht="22.5" customHeight="1">
      <c r="A13" s="72"/>
      <c r="B13" s="73"/>
      <c r="C13" s="11" t="s">
        <v>55</v>
      </c>
      <c r="D13" s="7">
        <v>1</v>
      </c>
      <c r="E13" s="36" t="s">
        <v>24</v>
      </c>
      <c r="F13" s="8"/>
      <c r="G13" s="8"/>
      <c r="H13" s="8"/>
      <c r="I13" s="8"/>
      <c r="J13" s="8"/>
      <c r="K13" s="10"/>
      <c r="L13" s="8"/>
      <c r="M13" s="8"/>
      <c r="N13" s="8"/>
      <c r="O13" s="8"/>
      <c r="P13" s="9">
        <f>ROUND(SUM(F13:O13),3)</f>
        <v>0</v>
      </c>
      <c r="Q13" s="2"/>
    </row>
    <row r="14" spans="1:17" ht="24.75" customHeight="1">
      <c r="A14" s="54" t="s">
        <v>10</v>
      </c>
      <c r="B14" s="55"/>
      <c r="C14" s="11" t="s">
        <v>25</v>
      </c>
      <c r="D14" s="7">
        <v>1</v>
      </c>
      <c r="E14" s="36" t="s">
        <v>24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9">
        <f>ROUND(SUM(F14:O14),3)</f>
        <v>0</v>
      </c>
      <c r="Q14" s="2"/>
    </row>
    <row r="15" spans="1:17" ht="15.75" customHeight="1">
      <c r="A15" s="54" t="s">
        <v>6</v>
      </c>
      <c r="B15" s="55"/>
      <c r="C15" s="11" t="s">
        <v>25</v>
      </c>
      <c r="D15" s="7">
        <v>1</v>
      </c>
      <c r="E15" s="36" t="s">
        <v>24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9">
        <f t="shared" si="0"/>
        <v>0</v>
      </c>
      <c r="Q15" s="2"/>
    </row>
    <row r="16" spans="1:17" ht="15.75" customHeight="1">
      <c r="A16" s="54" t="s">
        <v>7</v>
      </c>
      <c r="B16" s="55"/>
      <c r="C16" s="11" t="s">
        <v>25</v>
      </c>
      <c r="D16" s="7">
        <v>1</v>
      </c>
      <c r="E16" s="36" t="s">
        <v>24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9">
        <f t="shared" si="0"/>
        <v>0</v>
      </c>
      <c r="Q16" s="2"/>
    </row>
    <row r="17" spans="1:21" ht="15.75" customHeight="1">
      <c r="A17" s="54" t="s">
        <v>11</v>
      </c>
      <c r="B17" s="55"/>
      <c r="C17" s="11" t="s">
        <v>25</v>
      </c>
      <c r="D17" s="7">
        <v>0.2</v>
      </c>
      <c r="E17" s="33" t="s">
        <v>24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9">
        <f t="shared" si="0"/>
        <v>0</v>
      </c>
      <c r="Q17" s="2"/>
    </row>
    <row r="18" spans="1:21" ht="15.75" customHeight="1">
      <c r="A18" s="56" t="s">
        <v>1</v>
      </c>
      <c r="B18" s="58"/>
      <c r="C18" s="11" t="s">
        <v>50</v>
      </c>
      <c r="D18" s="7">
        <v>0.1</v>
      </c>
      <c r="E18" s="49" t="s">
        <v>60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9">
        <f t="shared" si="0"/>
        <v>0</v>
      </c>
      <c r="Q18" s="2"/>
    </row>
    <row r="19" spans="1:21" ht="15.75" customHeight="1">
      <c r="A19" s="72"/>
      <c r="B19" s="73"/>
      <c r="C19" s="11" t="s">
        <v>51</v>
      </c>
      <c r="D19" s="7">
        <v>0.2</v>
      </c>
      <c r="E19" s="49" t="s">
        <v>61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9">
        <f t="shared" si="0"/>
        <v>0</v>
      </c>
      <c r="Q19" s="2"/>
    </row>
    <row r="20" spans="1:21" ht="15.75" customHeight="1">
      <c r="A20" s="56" t="e">
        <f>"评定结果:"&amp;IF(D22&gt;=90,"优",IF(D22&gt;=80,"良",IF(D22&gt;=70,"中",IF(D22&gt;=60,"次","差"))))</f>
        <v>#DIV/0!</v>
      </c>
      <c r="B20" s="57"/>
      <c r="C20" s="57"/>
      <c r="D20" s="57"/>
      <c r="E20" s="58"/>
      <c r="F20" s="59" t="s">
        <v>58</v>
      </c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2"/>
    </row>
    <row r="21" spans="1:21" ht="15.75" customHeight="1">
      <c r="A21" s="68" t="s">
        <v>26</v>
      </c>
      <c r="B21" s="69"/>
      <c r="C21" s="12" t="e">
        <f>ROUND(SUMPRODUCT(D7:D19,P7:P19)*100/H5/M5,3)</f>
        <v>#DIV/0!</v>
      </c>
      <c r="D21" s="51" t="e">
        <f>ROUND(SUMPRODUCT(D7:D19,P7:P19)*100/H5/M5,6)</f>
        <v>#DIV/0!</v>
      </c>
      <c r="E21" s="45" t="s">
        <v>56</v>
      </c>
      <c r="F21" s="62"/>
      <c r="G21" s="63"/>
      <c r="H21" s="63"/>
      <c r="I21" s="63"/>
      <c r="J21" s="63"/>
      <c r="K21" s="63"/>
      <c r="L21" s="63"/>
      <c r="M21" s="63"/>
      <c r="N21" s="63"/>
      <c r="O21" s="63"/>
      <c r="P21" s="64"/>
      <c r="Q21" s="2"/>
      <c r="T21" s="13"/>
      <c r="U21" s="14"/>
    </row>
    <row r="22" spans="1:21" ht="15.75" customHeight="1">
      <c r="A22" s="70" t="s">
        <v>27</v>
      </c>
      <c r="B22" s="71"/>
      <c r="C22" s="37" t="e">
        <f>ROUND(100-(15*(C21^0.412)),1)</f>
        <v>#DIV/0!</v>
      </c>
      <c r="D22" s="48" t="e">
        <f>ROUND(100-(15*(D21^0.412)),2)</f>
        <v>#DIV/0!</v>
      </c>
      <c r="E22" s="44"/>
      <c r="F22" s="65"/>
      <c r="G22" s="66"/>
      <c r="H22" s="66"/>
      <c r="I22" s="66"/>
      <c r="J22" s="66"/>
      <c r="K22" s="66"/>
      <c r="L22" s="66"/>
      <c r="M22" s="66"/>
      <c r="N22" s="66"/>
      <c r="O22" s="66"/>
      <c r="P22" s="67"/>
      <c r="Q22" s="1" t="e">
        <f>C21</f>
        <v>#DIV/0!</v>
      </c>
      <c r="R22" s="15"/>
    </row>
  </sheetData>
  <sheetProtection selectLockedCells="1"/>
  <mergeCells count="31">
    <mergeCell ref="A14:B14"/>
    <mergeCell ref="A15:B15"/>
    <mergeCell ref="A16:B16"/>
    <mergeCell ref="A12:B13"/>
    <mergeCell ref="A7:B7"/>
    <mergeCell ref="A8:B8"/>
    <mergeCell ref="A9:B9"/>
    <mergeCell ref="A10:B10"/>
    <mergeCell ref="A11:B11"/>
    <mergeCell ref="M4:O4"/>
    <mergeCell ref="P4:P6"/>
    <mergeCell ref="F5:G5"/>
    <mergeCell ref="H5:J5"/>
    <mergeCell ref="K5:L5"/>
    <mergeCell ref="M5:O5"/>
    <mergeCell ref="A1:P2"/>
    <mergeCell ref="A17:B17"/>
    <mergeCell ref="A20:E20"/>
    <mergeCell ref="F20:P22"/>
    <mergeCell ref="A21:B21"/>
    <mergeCell ref="A22:B22"/>
    <mergeCell ref="A18:B19"/>
    <mergeCell ref="F3:G3"/>
    <mergeCell ref="H3:P3"/>
    <mergeCell ref="A4:B6"/>
    <mergeCell ref="C4:C6"/>
    <mergeCell ref="D4:D6"/>
    <mergeCell ref="E4:E6"/>
    <mergeCell ref="F4:G4"/>
    <mergeCell ref="H4:J4"/>
    <mergeCell ref="K4:L4"/>
  </mergeCells>
  <phoneticPr fontId="2" type="noConversion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21"/>
  <sheetViews>
    <sheetView zoomScaleNormal="100" workbookViewId="0">
      <selection activeCell="D20" sqref="D20"/>
    </sheetView>
  </sheetViews>
  <sheetFormatPr defaultRowHeight="15.75" customHeight="1"/>
  <cols>
    <col min="1" max="1" width="13.75" style="17" customWidth="1"/>
    <col min="2" max="2" width="11.75" style="17" customWidth="1"/>
    <col min="3" max="3" width="8.375" style="17" hidden="1" customWidth="1"/>
    <col min="4" max="4" width="10.75" style="40" customWidth="1"/>
    <col min="5" max="15" width="10.75" style="17" customWidth="1"/>
    <col min="16" max="16" width="16.75" style="17" customWidth="1"/>
    <col min="17" max="17" width="8.625" style="17" hidden="1" customWidth="1"/>
    <col min="18" max="19" width="7.875" style="17" customWidth="1"/>
    <col min="20" max="21" width="9" style="17" customWidth="1"/>
    <col min="22" max="16384" width="9" style="17"/>
  </cols>
  <sheetData>
    <row r="1" spans="1:17" ht="15.75" customHeight="1">
      <c r="A1" s="122" t="s">
        <v>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7" ht="15.7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7" ht="15.75" customHeight="1">
      <c r="A3" s="18" t="s">
        <v>59</v>
      </c>
      <c r="B3" s="19"/>
      <c r="C3" s="20" t="s">
        <v>29</v>
      </c>
      <c r="D3" s="41" t="s">
        <v>13</v>
      </c>
      <c r="E3" s="21"/>
      <c r="F3" s="105" t="s">
        <v>30</v>
      </c>
      <c r="G3" s="106"/>
      <c r="H3" s="129"/>
      <c r="I3" s="129"/>
      <c r="J3" s="129"/>
      <c r="K3" s="129"/>
      <c r="L3" s="129"/>
      <c r="M3" s="129"/>
      <c r="N3" s="129"/>
      <c r="O3" s="129"/>
      <c r="P3" s="130"/>
    </row>
    <row r="4" spans="1:17" ht="15.75" customHeight="1">
      <c r="A4" s="111" t="s">
        <v>31</v>
      </c>
      <c r="B4" s="113"/>
      <c r="C4" s="135" t="s">
        <v>16</v>
      </c>
      <c r="D4" s="102" t="s">
        <v>17</v>
      </c>
      <c r="E4" s="102" t="s">
        <v>18</v>
      </c>
      <c r="F4" s="109" t="s">
        <v>32</v>
      </c>
      <c r="G4" s="110"/>
      <c r="H4" s="100"/>
      <c r="I4" s="100"/>
      <c r="J4" s="100"/>
      <c r="K4" s="110" t="s">
        <v>33</v>
      </c>
      <c r="L4" s="110"/>
      <c r="M4" s="100"/>
      <c r="N4" s="100"/>
      <c r="O4" s="101"/>
      <c r="P4" s="102" t="s">
        <v>21</v>
      </c>
    </row>
    <row r="5" spans="1:17" ht="15.75" customHeight="1">
      <c r="A5" s="131"/>
      <c r="B5" s="132"/>
      <c r="C5" s="136"/>
      <c r="D5" s="103"/>
      <c r="E5" s="103"/>
      <c r="F5" s="105" t="s">
        <v>34</v>
      </c>
      <c r="G5" s="106"/>
      <c r="H5" s="126">
        <f>ABS(M4-H4)</f>
        <v>0</v>
      </c>
      <c r="I5" s="126"/>
      <c r="J5" s="126"/>
      <c r="K5" s="106" t="s">
        <v>35</v>
      </c>
      <c r="L5" s="106"/>
      <c r="M5" s="127">
        <v>3.75</v>
      </c>
      <c r="N5" s="127"/>
      <c r="O5" s="128"/>
      <c r="P5" s="103"/>
    </row>
    <row r="6" spans="1:17" ht="15.75" customHeight="1">
      <c r="A6" s="133"/>
      <c r="B6" s="134"/>
      <c r="C6" s="137"/>
      <c r="D6" s="104"/>
      <c r="E6" s="104"/>
      <c r="F6" s="22">
        <v>1</v>
      </c>
      <c r="G6" s="22">
        <v>2</v>
      </c>
      <c r="H6" s="22">
        <v>3</v>
      </c>
      <c r="I6" s="22">
        <v>4</v>
      </c>
      <c r="J6" s="22">
        <v>5</v>
      </c>
      <c r="K6" s="22">
        <v>6</v>
      </c>
      <c r="L6" s="22">
        <v>7</v>
      </c>
      <c r="M6" s="22">
        <v>8</v>
      </c>
      <c r="N6" s="22">
        <v>9</v>
      </c>
      <c r="O6" s="22">
        <v>10</v>
      </c>
      <c r="P6" s="104"/>
    </row>
    <row r="7" spans="1:17" ht="15.75" customHeight="1">
      <c r="A7" s="107" t="s">
        <v>0</v>
      </c>
      <c r="B7" s="108"/>
      <c r="C7" s="35" t="s">
        <v>52</v>
      </c>
      <c r="D7" s="23">
        <v>1</v>
      </c>
      <c r="E7" s="29" t="s">
        <v>36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5">
        <f>ROUND(SUM(F7:O7),3)</f>
        <v>0</v>
      </c>
      <c r="Q7" s="26"/>
    </row>
    <row r="8" spans="1:17" ht="15.75" customHeight="1">
      <c r="A8" s="107" t="s">
        <v>37</v>
      </c>
      <c r="B8" s="108"/>
      <c r="C8" s="35" t="s">
        <v>53</v>
      </c>
      <c r="D8" s="23">
        <v>10</v>
      </c>
      <c r="E8" s="29" t="s">
        <v>38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5">
        <f t="shared" ref="P8:P18" si="0">ROUND(SUM(F8:O8),3)</f>
        <v>0</v>
      </c>
    </row>
    <row r="9" spans="1:17" ht="15.75" customHeight="1">
      <c r="A9" s="107" t="s">
        <v>39</v>
      </c>
      <c r="B9" s="108"/>
      <c r="C9" s="27" t="s">
        <v>25</v>
      </c>
      <c r="D9" s="23">
        <v>1</v>
      </c>
      <c r="E9" s="29" t="s">
        <v>40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5">
        <f t="shared" si="0"/>
        <v>0</v>
      </c>
    </row>
    <row r="10" spans="1:17" ht="15.75" customHeight="1">
      <c r="A10" s="107" t="s">
        <v>41</v>
      </c>
      <c r="B10" s="108"/>
      <c r="C10" s="27" t="s">
        <v>25</v>
      </c>
      <c r="D10" s="23">
        <v>10</v>
      </c>
      <c r="E10" s="29" t="s">
        <v>40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>
        <f t="shared" si="0"/>
        <v>0</v>
      </c>
    </row>
    <row r="11" spans="1:17" ht="15.75" customHeight="1">
      <c r="A11" s="111" t="s">
        <v>46</v>
      </c>
      <c r="B11" s="113"/>
      <c r="C11" s="27" t="s">
        <v>42</v>
      </c>
      <c r="D11" s="28">
        <v>1</v>
      </c>
      <c r="E11" s="34" t="s">
        <v>40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>
        <f t="shared" si="0"/>
        <v>0</v>
      </c>
    </row>
    <row r="12" spans="1:17" ht="15.75" customHeight="1">
      <c r="A12" s="107" t="s">
        <v>43</v>
      </c>
      <c r="B12" s="108"/>
      <c r="C12" s="27" t="s">
        <v>25</v>
      </c>
      <c r="D12" s="23">
        <v>10</v>
      </c>
      <c r="E12" s="29" t="s">
        <v>40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>
        <f t="shared" si="0"/>
        <v>0</v>
      </c>
    </row>
    <row r="13" spans="1:17" ht="15.75" customHeight="1">
      <c r="A13" s="107" t="s">
        <v>44</v>
      </c>
      <c r="B13" s="108"/>
      <c r="C13" s="27" t="s">
        <v>25</v>
      </c>
      <c r="D13" s="23">
        <v>6</v>
      </c>
      <c r="E13" s="29" t="s">
        <v>40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>
        <f t="shared" si="0"/>
        <v>0</v>
      </c>
    </row>
    <row r="14" spans="1:17" ht="15.75" customHeight="1">
      <c r="A14" s="124" t="s">
        <v>45</v>
      </c>
      <c r="B14" s="125"/>
      <c r="C14" s="27" t="s">
        <v>42</v>
      </c>
      <c r="D14" s="23">
        <v>1</v>
      </c>
      <c r="E14" s="29" t="s">
        <v>40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>
        <f t="shared" si="0"/>
        <v>0</v>
      </c>
    </row>
    <row r="15" spans="1:17" ht="15.75" customHeight="1">
      <c r="A15" s="124" t="s">
        <v>49</v>
      </c>
      <c r="B15" s="125"/>
      <c r="C15" s="27" t="s">
        <v>42</v>
      </c>
      <c r="D15" s="23">
        <v>10</v>
      </c>
      <c r="E15" s="29" t="s">
        <v>40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>
        <f t="shared" si="0"/>
        <v>0</v>
      </c>
    </row>
    <row r="16" spans="1:17" ht="15.75" customHeight="1">
      <c r="A16" s="124" t="s">
        <v>47</v>
      </c>
      <c r="B16" s="125"/>
      <c r="C16" s="27" t="s">
        <v>42</v>
      </c>
      <c r="D16" s="23">
        <v>0.3</v>
      </c>
      <c r="E16" s="34" t="s">
        <v>40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>
        <f t="shared" si="0"/>
        <v>0</v>
      </c>
    </row>
    <row r="17" spans="1:21" ht="15.75" customHeight="1">
      <c r="A17" s="118" t="s">
        <v>48</v>
      </c>
      <c r="B17" s="119"/>
      <c r="C17" s="11" t="s">
        <v>50</v>
      </c>
      <c r="D17" s="7">
        <v>0.1</v>
      </c>
      <c r="E17" s="49" t="s">
        <v>60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f t="shared" si="0"/>
        <v>0</v>
      </c>
    </row>
    <row r="18" spans="1:21" ht="15.75" customHeight="1">
      <c r="A18" s="120"/>
      <c r="B18" s="121"/>
      <c r="C18" s="11" t="s">
        <v>51</v>
      </c>
      <c r="D18" s="7">
        <v>0.2</v>
      </c>
      <c r="E18" s="49" t="s">
        <v>61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>
        <f t="shared" si="0"/>
        <v>0</v>
      </c>
    </row>
    <row r="19" spans="1:21" ht="15.75" customHeight="1">
      <c r="A19" s="111" t="e">
        <f>"评定结果:"&amp;IF(D21&gt;=90,"优",IF(D21&gt;=80,"良",IF(D21&gt;=70,"中",IF(D21&gt;=60,"次","差"))))</f>
        <v>#DIV/0!</v>
      </c>
      <c r="B19" s="112"/>
      <c r="C19" s="112"/>
      <c r="D19" s="112"/>
      <c r="E19" s="113"/>
      <c r="F19" s="59" t="s">
        <v>58</v>
      </c>
      <c r="G19" s="60"/>
      <c r="H19" s="60"/>
      <c r="I19" s="60"/>
      <c r="J19" s="60"/>
      <c r="K19" s="60"/>
      <c r="L19" s="60"/>
      <c r="M19" s="60"/>
      <c r="N19" s="60"/>
      <c r="O19" s="60"/>
      <c r="P19" s="61"/>
    </row>
    <row r="20" spans="1:21" ht="15.75" customHeight="1">
      <c r="A20" s="114" t="s">
        <v>26</v>
      </c>
      <c r="B20" s="115"/>
      <c r="D20" s="50" t="e">
        <f>ROUND(IF(SUMPRODUCT(D7:D18,P7:P18)*100/H5/M5&gt;100,100,SUMPRODUCT(D7:D18,P7:P18)*100/H5/M5),6)</f>
        <v>#DIV/0!</v>
      </c>
      <c r="E20" s="46" t="s">
        <v>57</v>
      </c>
      <c r="F20" s="62"/>
      <c r="G20" s="63"/>
      <c r="H20" s="63"/>
      <c r="I20" s="63"/>
      <c r="J20" s="63"/>
      <c r="K20" s="63"/>
      <c r="L20" s="63"/>
      <c r="M20" s="63"/>
      <c r="N20" s="63"/>
      <c r="O20" s="63"/>
      <c r="P20" s="64"/>
      <c r="U20" s="30"/>
    </row>
    <row r="21" spans="1:21" ht="15.75" customHeight="1">
      <c r="A21" s="116" t="s">
        <v>27</v>
      </c>
      <c r="B21" s="117"/>
      <c r="C21" s="38"/>
      <c r="D21" s="47" t="e">
        <f>ROUND(100-(10.66*(D20^0.461)),2)</f>
        <v>#DIV/0!</v>
      </c>
      <c r="E21" s="39"/>
      <c r="F21" s="65"/>
      <c r="G21" s="66"/>
      <c r="H21" s="66"/>
      <c r="I21" s="66"/>
      <c r="J21" s="66"/>
      <c r="K21" s="66"/>
      <c r="L21" s="66"/>
      <c r="M21" s="66"/>
      <c r="N21" s="66"/>
      <c r="O21" s="66"/>
      <c r="P21" s="67"/>
      <c r="Q21" s="31" t="e">
        <f>D20</f>
        <v>#DIV/0!</v>
      </c>
      <c r="R21" s="32"/>
    </row>
  </sheetData>
  <sheetProtection selectLockedCells="1"/>
  <mergeCells count="31">
    <mergeCell ref="A1:P2"/>
    <mergeCell ref="A14:B14"/>
    <mergeCell ref="A15:B15"/>
    <mergeCell ref="A16:B16"/>
    <mergeCell ref="A11:B11"/>
    <mergeCell ref="K5:L5"/>
    <mergeCell ref="H5:J5"/>
    <mergeCell ref="A7:B7"/>
    <mergeCell ref="A8:B8"/>
    <mergeCell ref="A9:B9"/>
    <mergeCell ref="A10:B10"/>
    <mergeCell ref="M5:O5"/>
    <mergeCell ref="F3:G3"/>
    <mergeCell ref="H3:P3"/>
    <mergeCell ref="A4:B6"/>
    <mergeCell ref="C4:C6"/>
    <mergeCell ref="A19:E19"/>
    <mergeCell ref="F19:P21"/>
    <mergeCell ref="A20:B20"/>
    <mergeCell ref="A21:B21"/>
    <mergeCell ref="A17:B18"/>
    <mergeCell ref="M4:O4"/>
    <mergeCell ref="P4:P6"/>
    <mergeCell ref="F5:G5"/>
    <mergeCell ref="A12:B12"/>
    <mergeCell ref="A13:B13"/>
    <mergeCell ref="D4:D6"/>
    <mergeCell ref="E4:E6"/>
    <mergeCell ref="F4:G4"/>
    <mergeCell ref="H4:J4"/>
    <mergeCell ref="K4:L4"/>
  </mergeCells>
  <phoneticPr fontId="2" type="noConversion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沥青路面损坏调查表</vt:lpstr>
      <vt:lpstr>水泥路面损坏调查表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Lenovo</cp:lastModifiedBy>
  <cp:lastPrinted>2019-05-09T05:54:42Z</cp:lastPrinted>
  <dcterms:created xsi:type="dcterms:W3CDTF">2018-02-08T07:56:31Z</dcterms:created>
  <dcterms:modified xsi:type="dcterms:W3CDTF">2023-07-31T06:49:21Z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