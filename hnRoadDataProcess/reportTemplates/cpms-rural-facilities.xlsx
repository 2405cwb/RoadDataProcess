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filterPrivacy="1" defaultThemeVersion="124226"/>
  <xr:revisionPtr revIDLastSave="0" documentId="13_ncr:1_{508B805D-BD96-4971-B54C-C1364C5A3F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沿线设施损坏调查表" sheetId="4" r:id="rId1"/>
  </sheets>
  <definedNames>
    <definedName name="_xlnm._FilterDatabase" localSheetId="0" hidden="1">沿线设施损坏调查表!$S$1:$S$18</definedName>
  </definedNames>
  <calcPr calcId="191029"/>
</workbook>
</file>

<file path=xl/calcChain.xml><?xml version="1.0" encoding="utf-8"?>
<calcChain xmlns="http://schemas.openxmlformats.org/spreadsheetml/2006/main">
  <c r="P10" i="4" l="1"/>
  <c r="P11" i="4"/>
  <c r="P12" i="4"/>
  <c r="P9" i="4"/>
  <c r="P8" i="4"/>
  <c r="B15" i="4" l="1"/>
  <c r="O11" i="4"/>
  <c r="O12" i="4"/>
  <c r="O9" i="4"/>
  <c r="O10" i="4"/>
  <c r="R15" i="4" l="1"/>
  <c r="Q15" i="4"/>
  <c r="O8" i="4"/>
  <c r="S15" i="4" l="1"/>
</calcChain>
</file>

<file path=xl/sharedStrings.xml><?xml version="1.0" encoding="utf-8"?>
<sst xmlns="http://schemas.openxmlformats.org/spreadsheetml/2006/main" count="30" uniqueCount="27">
  <si>
    <t>沿线设施损坏调查表</t>
    <phoneticPr fontId="3" type="noConversion"/>
  </si>
  <si>
    <t>路线名称:S5广明</t>
    <phoneticPr fontId="3" type="noConversion"/>
  </si>
  <si>
    <t>调查方向:</t>
    <phoneticPr fontId="3" type="noConversion"/>
  </si>
  <si>
    <t>调查时间：</t>
    <phoneticPr fontId="3" type="noConversion"/>
  </si>
  <si>
    <t>调查人员：</t>
    <phoneticPr fontId="3" type="noConversion"/>
  </si>
  <si>
    <t>调查内容</t>
    <phoneticPr fontId="3" type="noConversion"/>
  </si>
  <si>
    <t>权重
Wi</t>
    <phoneticPr fontId="3" type="noConversion"/>
  </si>
  <si>
    <t>计量
单位</t>
    <phoneticPr fontId="3" type="noConversion"/>
  </si>
  <si>
    <t>起点桩号：</t>
    <phoneticPr fontId="3" type="noConversion"/>
  </si>
  <si>
    <t>TCI =</t>
    <phoneticPr fontId="3" type="noConversion"/>
  </si>
  <si>
    <t>计算方法:</t>
    <phoneticPr fontId="3" type="noConversion"/>
  </si>
  <si>
    <t>评定结果:</t>
    <phoneticPr fontId="3" type="noConversion"/>
  </si>
  <si>
    <t>处</t>
    <phoneticPr fontId="3" type="noConversion"/>
  </si>
  <si>
    <t>路面宽度：</t>
    <phoneticPr fontId="3" type="noConversion"/>
  </si>
  <si>
    <t>路段长度：</t>
    <phoneticPr fontId="3" type="noConversion"/>
  </si>
  <si>
    <t>终点桩号：</t>
    <phoneticPr fontId="3" type="noConversion"/>
  </si>
  <si>
    <t>累计
损坏</t>
    <phoneticPr fontId="3" type="noConversion"/>
  </si>
  <si>
    <t>K7</t>
    <phoneticPr fontId="3" type="noConversion"/>
  </si>
  <si>
    <t>K6+400</t>
    <phoneticPr fontId="3" type="noConversion"/>
  </si>
  <si>
    <t>其他设施缺损</t>
  </si>
  <si>
    <t>绿化管护不善</t>
  </si>
  <si>
    <t>m</t>
    <phoneticPr fontId="1" type="noConversion"/>
  </si>
  <si>
    <t>标志缺损</t>
    <phoneticPr fontId="1" type="noConversion"/>
  </si>
  <si>
    <t>标线缺损</t>
    <phoneticPr fontId="1" type="noConversion"/>
  </si>
  <si>
    <t>百米统计单元表</t>
    <phoneticPr fontId="1" type="noConversion"/>
  </si>
  <si>
    <t>防护设施缺损</t>
    <phoneticPr fontId="1" type="noConversion"/>
  </si>
  <si>
    <t>单位扣分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</si>
</sst>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0\+000"/>
    <numFmt numFmtId="177" formatCode="000\+000"/>
    <numFmt numFmtId="178" formatCode="0.00_ "/>
    <numFmt numFmtId="179" formatCode="0000&quot;年&quot;00&quot;月&quot;00&quot;日&quot;"/>
    <numFmt numFmtId="180" formatCode="\K0000\+000"/>
  </numFmts>
  <fonts count="9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2"/>
      <name val="宋体"/>
      <family val="3"/>
      <charset val="134"/>
    </font>
    <font>
      <sz val="9"/>
      <name val="宋体"/>
      <family val="3"/>
      <charset val="134"/>
    </font>
    <font>
      <sz val="10"/>
      <name val="宋体"/>
      <family val="3"/>
      <charset val="134"/>
    </font>
    <font>
      <b/>
      <sz val="10"/>
      <name val="宋体"/>
      <family val="3"/>
      <charset val="134"/>
    </font>
    <font>
      <sz val="12"/>
      <name val="宋体"/>
      <family val="3"/>
      <charset val="134"/>
    </font>
    <font>
      <sz val="12"/>
      <color theme="0"/>
      <name val="宋体"/>
      <family val="3"/>
      <charset val="134"/>
    </font>
    <font>
      <sz val="11"/>
      <color theme="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6" fillId="0" borderId="0"/>
  </cellStyleXfs>
  <cellXfs count="59">
    <xf numFmtId="0" fontId="0" fillId="0" borderId="0" xfId="0">
      <alignment vertical="center"/>
    </xf>
    <xf numFmtId="0" fontId="6" fillId="0" borderId="0" xfId="1"/>
    <xf numFmtId="0" fontId="5" fillId="0" borderId="14" xfId="1" applyFont="1" applyBorder="1" applyAlignment="1">
      <alignment vertical="center"/>
    </xf>
    <xf numFmtId="0" fontId="5" fillId="0" borderId="0" xfId="1" applyFont="1" applyAlignment="1">
      <alignment vertical="center"/>
    </xf>
    <xf numFmtId="0" fontId="4" fillId="0" borderId="0" xfId="1" applyFont="1" applyAlignment="1">
      <alignment horizontal="right" vertical="center"/>
    </xf>
    <xf numFmtId="0" fontId="2" fillId="0" borderId="0" xfId="1" applyFont="1" applyAlignment="1">
      <alignment horizontal="right" vertical="center"/>
    </xf>
    <xf numFmtId="178" fontId="4" fillId="0" borderId="8" xfId="1" applyNumberFormat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distributed"/>
    </xf>
    <xf numFmtId="0" fontId="4" fillId="0" borderId="6" xfId="1" applyFont="1" applyBorder="1" applyAlignment="1">
      <alignment horizontal="center" vertical="center" wrapText="1"/>
    </xf>
    <xf numFmtId="0" fontId="4" fillId="0" borderId="9" xfId="1" applyFont="1" applyBorder="1" applyAlignment="1">
      <alignment vertical="distributed" wrapText="1"/>
    </xf>
    <xf numFmtId="177" fontId="4" fillId="0" borderId="9" xfId="1" applyNumberFormat="1" applyFont="1" applyBorder="1" applyAlignment="1">
      <alignment vertical="distributed" wrapText="1"/>
    </xf>
    <xf numFmtId="0" fontId="4" fillId="0" borderId="4" xfId="1" applyFont="1" applyBorder="1" applyAlignment="1">
      <alignment vertical="distributed"/>
    </xf>
    <xf numFmtId="0" fontId="4" fillId="0" borderId="2" xfId="1" applyFont="1" applyBorder="1" applyAlignment="1">
      <alignment horizontal="left" vertical="center"/>
    </xf>
    <xf numFmtId="0" fontId="7" fillId="0" borderId="0" xfId="1" applyFont="1"/>
    <xf numFmtId="176" fontId="8" fillId="0" borderId="0" xfId="0" applyNumberFormat="1" applyFont="1" applyAlignment="1"/>
    <xf numFmtId="0" fontId="8" fillId="0" borderId="0" xfId="0" applyFont="1" applyAlignment="1"/>
    <xf numFmtId="0" fontId="7" fillId="0" borderId="0" xfId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distributed"/>
    </xf>
    <xf numFmtId="0" fontId="4" fillId="0" borderId="8" xfId="1" applyFont="1" applyBorder="1" applyAlignment="1">
      <alignment horizontal="center" vertical="center"/>
    </xf>
    <xf numFmtId="0" fontId="4" fillId="0" borderId="3" xfId="1" applyFont="1" applyBorder="1" applyAlignment="1">
      <alignment vertical="distributed"/>
    </xf>
    <xf numFmtId="178" fontId="5" fillId="0" borderId="0" xfId="1" applyNumberFormat="1" applyFont="1" applyAlignment="1">
      <alignment vertical="center"/>
    </xf>
    <xf numFmtId="180" fontId="4" fillId="0" borderId="8" xfId="1" applyNumberFormat="1" applyFont="1" applyBorder="1" applyAlignment="1">
      <alignment horizontal="center" vertical="distributed" wrapText="1"/>
    </xf>
    <xf numFmtId="180" fontId="4" fillId="0" borderId="9" xfId="1" applyNumberFormat="1" applyFont="1" applyBorder="1" applyAlignment="1">
      <alignment horizontal="center" vertical="distributed" wrapText="1"/>
    </xf>
    <xf numFmtId="180" fontId="4" fillId="0" borderId="5" xfId="1" applyNumberFormat="1" applyFont="1" applyBorder="1" applyAlignment="1">
      <alignment horizontal="center" vertical="distributed" wrapText="1"/>
    </xf>
    <xf numFmtId="0" fontId="4" fillId="0" borderId="8" xfId="1" applyFont="1" applyBorder="1" applyAlignment="1">
      <alignment horizontal="center" vertical="distributed" wrapText="1"/>
    </xf>
    <xf numFmtId="0" fontId="4" fillId="0" borderId="9" xfId="1" applyFont="1" applyBorder="1" applyAlignment="1">
      <alignment horizontal="center" vertical="distributed" wrapText="1"/>
    </xf>
    <xf numFmtId="0" fontId="4" fillId="0" borderId="5" xfId="1" applyFont="1" applyBorder="1" applyAlignment="1">
      <alignment horizontal="center" vertical="distributed" wrapText="1"/>
    </xf>
    <xf numFmtId="0" fontId="4" fillId="0" borderId="7" xfId="1" applyFont="1" applyBorder="1" applyAlignment="1">
      <alignment horizontal="center" vertical="center" wrapText="1"/>
    </xf>
    <xf numFmtId="0" fontId="4" fillId="0" borderId="10" xfId="1" applyFont="1" applyBorder="1" applyAlignment="1">
      <alignment horizontal="center" vertical="center" wrapText="1"/>
    </xf>
    <xf numFmtId="0" fontId="4" fillId="0" borderId="11" xfId="1" applyFont="1" applyBorder="1" applyAlignment="1">
      <alignment horizontal="center" vertical="center" wrapText="1"/>
    </xf>
    <xf numFmtId="0" fontId="5" fillId="0" borderId="0" xfId="1" applyFont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0" borderId="16" xfId="1" applyFont="1" applyBorder="1" applyAlignment="1">
      <alignment horizontal="center" vertical="center"/>
    </xf>
    <xf numFmtId="0" fontId="5" fillId="0" borderId="20" xfId="1" applyFont="1" applyBorder="1" applyAlignment="1">
      <alignment horizontal="left" vertical="center"/>
    </xf>
    <xf numFmtId="0" fontId="5" fillId="0" borderId="12" xfId="1" applyFont="1" applyBorder="1" applyAlignment="1">
      <alignment horizontal="left" vertical="center"/>
    </xf>
    <xf numFmtId="0" fontId="2" fillId="0" borderId="15" xfId="1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5" fillId="0" borderId="15" xfId="1" applyFont="1" applyBorder="1" applyAlignment="1">
      <alignment horizontal="center" vertical="center"/>
    </xf>
    <xf numFmtId="0" fontId="5" fillId="0" borderId="17" xfId="1" applyFont="1" applyBorder="1" applyAlignment="1">
      <alignment horizontal="center" vertical="center"/>
    </xf>
    <xf numFmtId="0" fontId="5" fillId="0" borderId="13" xfId="1" applyFont="1" applyBorder="1" applyAlignment="1">
      <alignment horizontal="left" vertical="center"/>
    </xf>
    <xf numFmtId="0" fontId="2" fillId="0" borderId="0" xfId="1" applyFont="1" applyAlignment="1">
      <alignment horizontal="center" vertical="distributed"/>
    </xf>
    <xf numFmtId="0" fontId="2" fillId="0" borderId="1" xfId="1" applyFont="1" applyBorder="1" applyAlignment="1">
      <alignment horizontal="center" vertical="distributed"/>
    </xf>
    <xf numFmtId="179" fontId="4" fillId="0" borderId="3" xfId="1" applyNumberFormat="1" applyFont="1" applyBorder="1" applyAlignment="1">
      <alignment horizontal="center" vertical="center"/>
    </xf>
    <xf numFmtId="179" fontId="4" fillId="0" borderId="4" xfId="1" applyNumberFormat="1" applyFont="1" applyBorder="1" applyAlignment="1">
      <alignment horizontal="center" vertical="center"/>
    </xf>
    <xf numFmtId="179" fontId="4" fillId="0" borderId="2" xfId="1" applyNumberFormat="1" applyFont="1" applyBorder="1" applyAlignment="1">
      <alignment horizontal="center" vertical="center"/>
    </xf>
    <xf numFmtId="0" fontId="4" fillId="0" borderId="12" xfId="1" applyFont="1" applyBorder="1" applyAlignment="1">
      <alignment horizontal="center" vertical="distributed"/>
    </xf>
    <xf numFmtId="0" fontId="4" fillId="0" borderId="14" xfId="1" applyFont="1" applyBorder="1" applyAlignment="1">
      <alignment horizontal="center" vertical="distributed"/>
    </xf>
    <xf numFmtId="0" fontId="4" fillId="0" borderId="19" xfId="1" applyFont="1" applyBorder="1" applyAlignment="1">
      <alignment horizontal="center" vertical="distributed"/>
    </xf>
    <xf numFmtId="0" fontId="4" fillId="0" borderId="3" xfId="1" applyFont="1" applyBorder="1" applyAlignment="1">
      <alignment horizontal="center" vertical="distributed"/>
    </xf>
    <xf numFmtId="0" fontId="4" fillId="0" borderId="4" xfId="1" applyFont="1" applyBorder="1" applyAlignment="1">
      <alignment horizontal="center" vertical="distributed"/>
    </xf>
    <xf numFmtId="0" fontId="4" fillId="0" borderId="2" xfId="1" applyFont="1" applyBorder="1" applyAlignment="1">
      <alignment horizontal="center" vertical="distributed"/>
    </xf>
    <xf numFmtId="0" fontId="4" fillId="0" borderId="13" xfId="1" applyFont="1" applyBorder="1" applyAlignment="1">
      <alignment horizontal="center" vertical="center" wrapText="1"/>
    </xf>
    <xf numFmtId="0" fontId="4" fillId="0" borderId="15" xfId="1" applyFont="1" applyBorder="1" applyAlignment="1">
      <alignment horizontal="center" vertical="center" wrapText="1"/>
    </xf>
    <xf numFmtId="0" fontId="4" fillId="0" borderId="18" xfId="1" applyFont="1" applyBorder="1" applyAlignment="1">
      <alignment horizontal="center" vertical="center" wrapText="1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</xdr:colOff>
          <xdr:row>13</xdr:row>
          <xdr:rowOff>57150</xdr:rowOff>
        </xdr:from>
        <xdr:to>
          <xdr:col>14</xdr:col>
          <xdr:colOff>9525</xdr:colOff>
          <xdr:row>16</xdr:row>
          <xdr:rowOff>66675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8"/>
  <sheetViews>
    <sheetView tabSelected="1" workbookViewId="0">
      <selection activeCell="P12" sqref="P12"/>
    </sheetView>
  </sheetViews>
  <sheetFormatPr defaultRowHeight="14.25" x14ac:dyDescent="0.15"/>
  <cols>
    <col min="1" max="1" width="22.75" style="1" customWidth="1"/>
    <col min="2" max="2" width="8.875" style="1" bestFit="1" customWidth="1"/>
    <col min="3" max="4" width="5" style="1" customWidth="1"/>
    <col min="5" max="14" width="4.625" style="1" customWidth="1"/>
    <col min="15" max="15" width="7.75" style="1" customWidth="1"/>
    <col min="16" max="16" width="9" style="16"/>
    <col min="17" max="16384" width="9" style="1"/>
  </cols>
  <sheetData>
    <row r="1" spans="1:20" ht="14.25" customHeight="1" x14ac:dyDescent="0.15">
      <c r="A1" s="45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</row>
    <row r="2" spans="1:20" ht="14.25" customHeight="1" thickBot="1" x14ac:dyDescent="0.2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</row>
    <row r="3" spans="1:20" ht="14.25" customHeight="1" x14ac:dyDescent="0.15">
      <c r="A3" s="12" t="s">
        <v>1</v>
      </c>
      <c r="B3" s="23" t="s">
        <v>2</v>
      </c>
      <c r="C3" s="53"/>
      <c r="D3" s="55"/>
      <c r="E3" s="53" t="s">
        <v>3</v>
      </c>
      <c r="F3" s="55"/>
      <c r="G3" s="47"/>
      <c r="H3" s="48"/>
      <c r="I3" s="49"/>
      <c r="J3" s="53" t="s">
        <v>4</v>
      </c>
      <c r="K3" s="55"/>
      <c r="L3" s="53"/>
      <c r="M3" s="54"/>
      <c r="N3" s="11"/>
      <c r="O3" s="11"/>
      <c r="Q3" s="13"/>
      <c r="R3" s="13"/>
      <c r="S3" s="13"/>
      <c r="T3" s="13"/>
    </row>
    <row r="4" spans="1:20" ht="14.25" customHeight="1" x14ac:dyDescent="0.15">
      <c r="A4" s="50" t="s">
        <v>5</v>
      </c>
      <c r="B4" s="31" t="s">
        <v>26</v>
      </c>
      <c r="C4" s="31" t="s">
        <v>6</v>
      </c>
      <c r="D4" s="31" t="s">
        <v>7</v>
      </c>
      <c r="E4" s="28" t="s">
        <v>8</v>
      </c>
      <c r="F4" s="30"/>
      <c r="G4" s="25" t="s">
        <v>18</v>
      </c>
      <c r="H4" s="26"/>
      <c r="I4" s="27"/>
      <c r="J4" s="28" t="s">
        <v>15</v>
      </c>
      <c r="K4" s="30"/>
      <c r="L4" s="25" t="s">
        <v>17</v>
      </c>
      <c r="M4" s="26"/>
      <c r="N4" s="10"/>
      <c r="O4" s="56" t="s">
        <v>16</v>
      </c>
      <c r="Q4" s="13"/>
      <c r="R4" s="13"/>
      <c r="S4" s="13"/>
      <c r="T4" s="13"/>
    </row>
    <row r="5" spans="1:20" ht="14.25" customHeight="1" x14ac:dyDescent="0.15">
      <c r="A5" s="51"/>
      <c r="B5" s="32"/>
      <c r="C5" s="32"/>
      <c r="D5" s="32"/>
      <c r="E5" s="28" t="s">
        <v>14</v>
      </c>
      <c r="F5" s="30"/>
      <c r="G5" s="28">
        <v>600</v>
      </c>
      <c r="H5" s="29"/>
      <c r="I5" s="30"/>
      <c r="J5" s="28" t="s">
        <v>13</v>
      </c>
      <c r="K5" s="30"/>
      <c r="L5" s="28">
        <v>3.75</v>
      </c>
      <c r="M5" s="29"/>
      <c r="N5" s="9"/>
      <c r="O5" s="57"/>
      <c r="Q5" s="13"/>
      <c r="R5" s="13"/>
      <c r="S5" s="13"/>
      <c r="T5" s="13"/>
    </row>
    <row r="6" spans="1:20" ht="14.25" customHeight="1" x14ac:dyDescent="0.15">
      <c r="A6" s="51"/>
      <c r="B6" s="32"/>
      <c r="C6" s="32"/>
      <c r="D6" s="32"/>
      <c r="E6" s="28" t="s">
        <v>24</v>
      </c>
      <c r="F6" s="29"/>
      <c r="G6" s="29"/>
      <c r="H6" s="29"/>
      <c r="I6" s="29"/>
      <c r="J6" s="29"/>
      <c r="K6" s="29"/>
      <c r="L6" s="29"/>
      <c r="M6" s="29"/>
      <c r="N6" s="30"/>
      <c r="O6" s="57"/>
      <c r="Q6" s="13"/>
      <c r="R6" s="13"/>
      <c r="S6" s="13"/>
      <c r="T6" s="13"/>
    </row>
    <row r="7" spans="1:20" ht="14.25" customHeight="1" x14ac:dyDescent="0.15">
      <c r="A7" s="52"/>
      <c r="B7" s="33"/>
      <c r="C7" s="33"/>
      <c r="D7" s="33"/>
      <c r="E7" s="7">
        <v>1</v>
      </c>
      <c r="F7" s="7">
        <v>2</v>
      </c>
      <c r="G7" s="7">
        <v>3</v>
      </c>
      <c r="H7" s="7">
        <v>4</v>
      </c>
      <c r="I7" s="7">
        <v>5</v>
      </c>
      <c r="J7" s="7">
        <v>6</v>
      </c>
      <c r="K7" s="7">
        <v>7</v>
      </c>
      <c r="L7" s="7">
        <v>8</v>
      </c>
      <c r="M7" s="7">
        <v>9</v>
      </c>
      <c r="N7" s="7">
        <v>10</v>
      </c>
      <c r="O7" s="58"/>
      <c r="Q7" s="13"/>
      <c r="R7" s="13"/>
      <c r="S7" s="13"/>
      <c r="T7" s="13"/>
    </row>
    <row r="8" spans="1:20" ht="14.25" customHeight="1" x14ac:dyDescent="0.15">
      <c r="A8" s="22" t="s">
        <v>22</v>
      </c>
      <c r="B8" s="22">
        <v>20</v>
      </c>
      <c r="C8" s="18">
        <v>0.2</v>
      </c>
      <c r="D8" s="8" t="s">
        <v>12</v>
      </c>
      <c r="E8" s="7"/>
      <c r="F8" s="7"/>
      <c r="G8" s="7"/>
      <c r="H8" s="7"/>
      <c r="I8" s="7"/>
      <c r="J8" s="7"/>
      <c r="K8" s="7"/>
      <c r="L8" s="7"/>
      <c r="M8" s="7"/>
      <c r="N8" s="7"/>
      <c r="O8" s="6">
        <f t="shared" ref="O8:O12" si="0">SUM(E8:N8)</f>
        <v>0</v>
      </c>
      <c r="P8" s="16">
        <f>IF(C8*(100-O8*B8*1000/G5)&gt;0,C8*(100-O8*B8*1000/G5),0)</f>
        <v>20</v>
      </c>
      <c r="Q8" s="13"/>
      <c r="R8" s="13"/>
      <c r="S8" s="13"/>
      <c r="T8" s="13"/>
    </row>
    <row r="9" spans="1:20" ht="14.25" customHeight="1" x14ac:dyDescent="0.15">
      <c r="A9" s="22" t="s">
        <v>23</v>
      </c>
      <c r="B9" s="22">
        <v>0.1</v>
      </c>
      <c r="C9" s="18">
        <v>0.2</v>
      </c>
      <c r="D9" s="8" t="s">
        <v>21</v>
      </c>
      <c r="E9" s="7"/>
      <c r="F9" s="7"/>
      <c r="G9" s="7"/>
      <c r="H9" s="7"/>
      <c r="I9" s="7"/>
      <c r="J9" s="7"/>
      <c r="K9" s="7"/>
      <c r="L9" s="7"/>
      <c r="M9" s="7"/>
      <c r="N9" s="7"/>
      <c r="O9" s="6">
        <f t="shared" si="0"/>
        <v>0</v>
      </c>
      <c r="P9" s="16">
        <f>IF(C9*(100-O9*B9*1000/G5)&gt;0,C9*(100-O9*B9*1000/G5),0)</f>
        <v>20</v>
      </c>
      <c r="Q9" s="13"/>
      <c r="R9" s="13"/>
      <c r="S9" s="13"/>
      <c r="T9" s="13"/>
    </row>
    <row r="10" spans="1:20" ht="14.25" customHeight="1" x14ac:dyDescent="0.15">
      <c r="A10" s="20" t="s">
        <v>25</v>
      </c>
      <c r="B10" s="22">
        <v>10</v>
      </c>
      <c r="C10" s="20">
        <v>0.35</v>
      </c>
      <c r="D10" s="8" t="s">
        <v>12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6">
        <f t="shared" si="0"/>
        <v>0</v>
      </c>
      <c r="P10" s="16">
        <f>IF(C10*(100-O10*B10*1000/G5)&gt;0,C10*(100-O10*B10*1000/G5),0)</f>
        <v>35</v>
      </c>
      <c r="Q10" s="13"/>
      <c r="R10" s="13"/>
      <c r="S10" s="13"/>
      <c r="T10" s="13"/>
    </row>
    <row r="11" spans="1:20" ht="14.25" customHeight="1" x14ac:dyDescent="0.15">
      <c r="A11" s="22" t="s">
        <v>19</v>
      </c>
      <c r="B11" s="22">
        <v>10</v>
      </c>
      <c r="C11" s="20">
        <v>0.15</v>
      </c>
      <c r="D11" s="8" t="s">
        <v>12</v>
      </c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6">
        <f t="shared" si="0"/>
        <v>0</v>
      </c>
      <c r="P11" s="16">
        <f>IF(C11*(100-O11*B11*1000/G5)&gt;0,C11*(100-O11*B11*1000/G5),0)</f>
        <v>15</v>
      </c>
      <c r="Q11" s="13"/>
      <c r="R11" s="13"/>
      <c r="S11" s="13"/>
      <c r="T11" s="13"/>
    </row>
    <row r="12" spans="1:20" ht="14.25" customHeight="1" x14ac:dyDescent="0.15">
      <c r="A12" s="22" t="s">
        <v>20</v>
      </c>
      <c r="B12" s="22">
        <v>0.1</v>
      </c>
      <c r="C12" s="20">
        <v>0.1</v>
      </c>
      <c r="D12" s="19" t="s">
        <v>21</v>
      </c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6">
        <f t="shared" si="0"/>
        <v>0</v>
      </c>
      <c r="P12" s="16">
        <f>IF(C12*(100-O12*B12*1000/G5)&gt;0,C12*(100-O12*B12*1000/G5),0)</f>
        <v>10</v>
      </c>
      <c r="Q12" s="13"/>
      <c r="R12" s="13"/>
      <c r="S12" s="13"/>
      <c r="T12" s="13"/>
    </row>
    <row r="13" spans="1:20" ht="14.25" customHeight="1" x14ac:dyDescent="0.15">
      <c r="A13" s="38"/>
      <c r="B13" s="38"/>
      <c r="C13" s="38"/>
      <c r="D13" s="39"/>
      <c r="E13" s="44"/>
      <c r="F13" s="38"/>
      <c r="G13" s="38"/>
      <c r="H13" s="38"/>
      <c r="I13" s="38"/>
      <c r="J13" s="38"/>
      <c r="K13" s="38"/>
      <c r="L13" s="38"/>
      <c r="M13" s="38"/>
      <c r="N13" s="38"/>
      <c r="O13" s="38"/>
      <c r="Q13" s="13"/>
      <c r="R13" s="13"/>
      <c r="S13" s="13"/>
      <c r="T13" s="13"/>
    </row>
    <row r="14" spans="1:20" ht="14.25" customHeight="1" x14ac:dyDescent="0.15">
      <c r="A14" s="5" t="s">
        <v>11</v>
      </c>
      <c r="B14" s="34"/>
      <c r="C14" s="34"/>
      <c r="D14" s="35"/>
      <c r="E14" s="40" t="s">
        <v>10</v>
      </c>
      <c r="F14" s="41"/>
      <c r="G14" s="41"/>
      <c r="H14" s="41"/>
      <c r="I14" s="41"/>
      <c r="J14" s="34"/>
      <c r="K14" s="34"/>
      <c r="L14" s="34"/>
      <c r="M14" s="34"/>
      <c r="N14" s="34"/>
      <c r="O14" s="34"/>
      <c r="Q14" s="13"/>
      <c r="R14" s="13"/>
      <c r="S14" s="13"/>
      <c r="T14" s="13"/>
    </row>
    <row r="15" spans="1:20" ht="14.25" customHeight="1" x14ac:dyDescent="0.15">
      <c r="A15" s="4" t="s">
        <v>9</v>
      </c>
      <c r="B15" s="24">
        <f>IF((SUM(P7:P12))&lt;0,0,SUM(P7:P12))</f>
        <v>100</v>
      </c>
      <c r="C15" s="3"/>
      <c r="D15" s="2"/>
      <c r="E15" s="42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17"/>
      <c r="Q15" s="14" t="str">
        <f>G4</f>
        <v>K6+400</v>
      </c>
      <c r="R15" s="14" t="str">
        <f>L4</f>
        <v>K7</v>
      </c>
      <c r="S15" s="15" t="e">
        <f>#REF!</f>
        <v>#REF!</v>
      </c>
      <c r="T15" s="13"/>
    </row>
    <row r="16" spans="1:20" ht="14.25" customHeight="1" x14ac:dyDescent="0.15">
      <c r="A16" s="34"/>
      <c r="B16" s="34"/>
      <c r="C16" s="34"/>
      <c r="D16" s="35"/>
      <c r="E16" s="42"/>
      <c r="F16" s="34"/>
      <c r="G16" s="34"/>
      <c r="H16" s="34"/>
      <c r="I16" s="34"/>
      <c r="J16" s="34"/>
      <c r="K16" s="34"/>
      <c r="L16" s="34"/>
      <c r="M16" s="34"/>
      <c r="N16" s="34"/>
      <c r="O16" s="34"/>
      <c r="Q16" s="13"/>
      <c r="R16" s="13"/>
      <c r="S16" s="13"/>
      <c r="T16" s="13"/>
    </row>
    <row r="17" spans="1:20" ht="14.25" customHeight="1" x14ac:dyDescent="0.15">
      <c r="A17" s="34"/>
      <c r="B17" s="34"/>
      <c r="C17" s="34"/>
      <c r="D17" s="35"/>
      <c r="E17" s="42"/>
      <c r="F17" s="34"/>
      <c r="G17" s="34"/>
      <c r="H17" s="34"/>
      <c r="I17" s="34"/>
      <c r="J17" s="34"/>
      <c r="K17" s="34"/>
      <c r="L17" s="34"/>
      <c r="M17" s="34"/>
      <c r="N17" s="34"/>
      <c r="O17" s="34"/>
      <c r="Q17" s="13"/>
      <c r="R17" s="13"/>
      <c r="S17" s="13"/>
      <c r="T17" s="13"/>
    </row>
    <row r="18" spans="1:20" ht="14.25" customHeight="1" thickBot="1" x14ac:dyDescent="0.2">
      <c r="A18" s="36"/>
      <c r="B18" s="36"/>
      <c r="C18" s="36"/>
      <c r="D18" s="37"/>
      <c r="E18" s="43"/>
      <c r="F18" s="36"/>
      <c r="G18" s="36"/>
      <c r="H18" s="36"/>
      <c r="I18" s="36"/>
      <c r="J18" s="36"/>
      <c r="K18" s="36"/>
      <c r="L18" s="36"/>
      <c r="M18" s="36"/>
      <c r="N18" s="36"/>
      <c r="O18" s="36"/>
      <c r="Q18" s="13"/>
      <c r="R18" s="13"/>
      <c r="S18" s="13"/>
      <c r="T18" s="13"/>
    </row>
  </sheetData>
  <mergeCells count="27">
    <mergeCell ref="A1:O2"/>
    <mergeCell ref="G3:I3"/>
    <mergeCell ref="A4:A7"/>
    <mergeCell ref="C4:C7"/>
    <mergeCell ref="L3:M3"/>
    <mergeCell ref="L5:M5"/>
    <mergeCell ref="E4:F4"/>
    <mergeCell ref="E3:F3"/>
    <mergeCell ref="J3:K3"/>
    <mergeCell ref="C3:D3"/>
    <mergeCell ref="O4:O7"/>
    <mergeCell ref="E5:F5"/>
    <mergeCell ref="J4:K4"/>
    <mergeCell ref="L4:M4"/>
    <mergeCell ref="J5:K5"/>
    <mergeCell ref="G4:I4"/>
    <mergeCell ref="G5:I5"/>
    <mergeCell ref="D4:D7"/>
    <mergeCell ref="E6:N6"/>
    <mergeCell ref="A16:D18"/>
    <mergeCell ref="A13:D13"/>
    <mergeCell ref="E14:I14"/>
    <mergeCell ref="E15:O18"/>
    <mergeCell ref="J14:O14"/>
    <mergeCell ref="E13:O13"/>
    <mergeCell ref="B14:D14"/>
    <mergeCell ref="B4:B7"/>
  </mergeCells>
  <phoneticPr fontId="1" type="noConversion"/>
  <pageMargins left="0.75" right="0.75" top="1" bottom="1" header="0.5" footer="0.5"/>
  <pageSetup paperSize="9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Equation.3" shapeId="2049" r:id="rId4">
          <objectPr defaultSize="0" autoPict="0" r:id="rId5">
            <anchor moveWithCells="1">
              <from>
                <xdr:col>8</xdr:col>
                <xdr:colOff>38100</xdr:colOff>
                <xdr:row>13</xdr:row>
                <xdr:rowOff>57150</xdr:rowOff>
              </from>
              <to>
                <xdr:col>14</xdr:col>
                <xdr:colOff>9525</xdr:colOff>
                <xdr:row>16</xdr:row>
                <xdr:rowOff>66675</xdr:rowOff>
              </to>
            </anchor>
          </objectPr>
        </oleObject>
      </mc:Choice>
      <mc:Fallback>
        <oleObject progId="Equation.3" shapeId="2049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沿线设施损坏调查表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2024-06-28T03:31:29Z</dcterms:modified>
</cp:coreProperties>
</file>