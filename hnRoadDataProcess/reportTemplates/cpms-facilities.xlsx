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4895" yWindow="60" windowWidth="19200" windowHeight="11640"/>
  </bookViews>
  <sheets>
    <sheet name="沿线设施损坏调查表" sheetId="4" r:id="rId1"/>
  </sheets>
  <definedNames>
    <definedName name="_xlnm._FilterDatabase" localSheetId="0" hidden="1">沿线设施损坏调查表!$T$1:$T$18</definedName>
  </definedNames>
  <calcPr calcId="144525"/>
</workbook>
</file>

<file path=xl/calcChain.xml><?xml version="1.0" encoding="utf-8"?>
<calcChain xmlns="http://schemas.openxmlformats.org/spreadsheetml/2006/main">
  <c r="B15" i="4" l="1"/>
  <c r="Q12" i="4"/>
  <c r="Q11" i="4"/>
  <c r="Q10" i="4"/>
  <c r="Q9" i="4"/>
  <c r="Q8" i="4"/>
  <c r="S15" i="4" l="1"/>
  <c r="R15" i="4"/>
  <c r="P7" i="4"/>
  <c r="P8" i="4"/>
  <c r="P9" i="4"/>
  <c r="P10" i="4"/>
  <c r="P11" i="4"/>
  <c r="P12" i="4"/>
  <c r="T15" i="4" l="1"/>
</calcChain>
</file>

<file path=xl/sharedStrings.xml><?xml version="1.0" encoding="utf-8"?>
<sst xmlns="http://schemas.openxmlformats.org/spreadsheetml/2006/main" count="32" uniqueCount="29">
  <si>
    <t>沿线设施损坏调查表</t>
    <phoneticPr fontId="3" type="noConversion"/>
  </si>
  <si>
    <t>路线名称:S5广明</t>
    <phoneticPr fontId="3" type="noConversion"/>
  </si>
  <si>
    <t>调查方向:</t>
    <phoneticPr fontId="3" type="noConversion"/>
  </si>
  <si>
    <t>调查时间：</t>
    <phoneticPr fontId="3" type="noConversion"/>
  </si>
  <si>
    <t>调查人员：</t>
    <phoneticPr fontId="3" type="noConversion"/>
  </si>
  <si>
    <t>调查内容</t>
    <phoneticPr fontId="3" type="noConversion"/>
  </si>
  <si>
    <t>程度</t>
    <phoneticPr fontId="3" type="noConversion"/>
  </si>
  <si>
    <t>单位
扣分</t>
    <phoneticPr fontId="3" type="noConversion"/>
  </si>
  <si>
    <t>权重
Wi</t>
    <phoneticPr fontId="3" type="noConversion"/>
  </si>
  <si>
    <t>计量
单位</t>
    <phoneticPr fontId="3" type="noConversion"/>
  </si>
  <si>
    <t>起点桩号：</t>
    <phoneticPr fontId="3" type="noConversion"/>
  </si>
  <si>
    <t>TCI =</t>
    <phoneticPr fontId="3" type="noConversion"/>
  </si>
  <si>
    <t>计算方法:</t>
    <phoneticPr fontId="3" type="noConversion"/>
  </si>
  <si>
    <t>评定结果:</t>
    <phoneticPr fontId="3" type="noConversion"/>
  </si>
  <si>
    <t>m</t>
    <phoneticPr fontId="3" type="noConversion"/>
  </si>
  <si>
    <t>绿化管护不善</t>
    <phoneticPr fontId="3" type="noConversion"/>
  </si>
  <si>
    <t>标线缺损</t>
    <phoneticPr fontId="3" type="noConversion"/>
  </si>
  <si>
    <t>处</t>
    <phoneticPr fontId="3" type="noConversion"/>
  </si>
  <si>
    <t>隔离栅损坏</t>
    <phoneticPr fontId="3" type="noConversion"/>
  </si>
  <si>
    <t>防护设施缺损</t>
    <phoneticPr fontId="3" type="noConversion"/>
  </si>
  <si>
    <t>路面宽度：</t>
    <phoneticPr fontId="3" type="noConversion"/>
  </si>
  <si>
    <t>路段长度：</t>
    <phoneticPr fontId="3" type="noConversion"/>
  </si>
  <si>
    <t>终点桩号：</t>
    <phoneticPr fontId="3" type="noConversion"/>
  </si>
  <si>
    <t>标志缺损</t>
    <phoneticPr fontId="3" type="noConversion"/>
  </si>
  <si>
    <t>重</t>
    <phoneticPr fontId="3" type="noConversion"/>
  </si>
  <si>
    <t>轻</t>
    <phoneticPr fontId="3" type="noConversion"/>
  </si>
  <si>
    <t>累计
损坏</t>
    <phoneticPr fontId="3" type="noConversion"/>
  </si>
  <si>
    <t>K7</t>
    <phoneticPr fontId="3" type="noConversion"/>
  </si>
  <si>
    <t>K6+400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</si>
</sst>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000\+000"/>
    <numFmt numFmtId="177" formatCode="000\+000"/>
    <numFmt numFmtId="178" formatCode="0.00_ "/>
    <numFmt numFmtId="179" formatCode="0000&quot;年&quot;00&quot;月&quot;00&quot;日&quot;"/>
    <numFmt numFmtId="180" formatCode="\K0000\+000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58">
    <xf numFmtId="0" fontId="0" fillId="0" borderId="0" xfId="0">
      <alignment vertical="center"/>
    </xf>
    <xf numFmtId="0" fontId="6" fillId="0" borderId="0" xfId="1"/>
    <xf numFmtId="0" fontId="5" fillId="0" borderId="15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2" fillId="0" borderId="0" xfId="1" applyFont="1" applyBorder="1" applyAlignment="1">
      <alignment horizontal="right" vertical="center"/>
    </xf>
    <xf numFmtId="178" fontId="4" fillId="0" borderId="9" xfId="1" applyNumberFormat="1" applyFont="1" applyBorder="1" applyAlignment="1">
      <alignment horizontal="center" vertical="center"/>
    </xf>
    <xf numFmtId="0" fontId="4" fillId="0" borderId="7" xfId="1" applyNumberFormat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distributed"/>
    </xf>
    <xf numFmtId="0" fontId="4" fillId="0" borderId="10" xfId="1" applyFont="1" applyBorder="1" applyAlignment="1">
      <alignment vertical="distributed" wrapText="1"/>
    </xf>
    <xf numFmtId="177" fontId="4" fillId="0" borderId="10" xfId="1" applyNumberFormat="1" applyFont="1" applyBorder="1" applyAlignment="1">
      <alignment vertical="distributed" wrapText="1"/>
    </xf>
    <xf numFmtId="0" fontId="4" fillId="0" borderId="4" xfId="1" applyFont="1" applyBorder="1" applyAlignment="1">
      <alignment vertical="distributed"/>
    </xf>
    <xf numFmtId="0" fontId="4" fillId="0" borderId="2" xfId="1" applyFont="1" applyBorder="1" applyAlignment="1">
      <alignment horizontal="left" vertical="center"/>
    </xf>
    <xf numFmtId="0" fontId="7" fillId="0" borderId="0" xfId="1" applyFont="1"/>
    <xf numFmtId="176" fontId="8" fillId="0" borderId="0" xfId="0" applyNumberFormat="1" applyFont="1" applyAlignment="1"/>
    <xf numFmtId="0" fontId="8" fillId="0" borderId="0" xfId="0" applyNumberFormat="1" applyFont="1" applyAlignment="1"/>
    <xf numFmtId="0" fontId="7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6" xfId="1" applyFont="1" applyBorder="1" applyAlignment="1">
      <alignment horizontal="center" vertical="distributed"/>
    </xf>
    <xf numFmtId="0" fontId="4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distributed"/>
    </xf>
    <xf numFmtId="0" fontId="2" fillId="0" borderId="1" xfId="1" applyFont="1" applyBorder="1" applyAlignment="1">
      <alignment horizontal="center" vertical="distributed"/>
    </xf>
    <xf numFmtId="179" fontId="4" fillId="0" borderId="3" xfId="1" applyNumberFormat="1" applyFont="1" applyBorder="1" applyAlignment="1">
      <alignment horizontal="center" vertical="center"/>
    </xf>
    <xf numFmtId="179" fontId="4" fillId="0" borderId="4" xfId="1" applyNumberFormat="1" applyFont="1" applyBorder="1" applyAlignment="1">
      <alignment horizontal="center" vertical="center"/>
    </xf>
    <xf numFmtId="179" fontId="4" fillId="0" borderId="2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distributed"/>
    </xf>
    <xf numFmtId="0" fontId="4" fillId="0" borderId="4" xfId="1" applyFont="1" applyBorder="1" applyAlignment="1">
      <alignment horizontal="center" vertical="distributed"/>
    </xf>
    <xf numFmtId="0" fontId="4" fillId="0" borderId="9" xfId="1" applyFont="1" applyBorder="1" applyAlignment="1">
      <alignment horizontal="center" vertical="distributed" wrapText="1"/>
    </xf>
    <xf numFmtId="0" fontId="4" fillId="0" borderId="10" xfId="1" applyFont="1" applyBorder="1" applyAlignment="1">
      <alignment horizontal="center" vertical="distributed" wrapText="1"/>
    </xf>
    <xf numFmtId="0" fontId="4" fillId="0" borderId="7" xfId="1" applyFont="1" applyBorder="1" applyAlignment="1">
      <alignment horizontal="center" vertical="distributed" wrapText="1"/>
    </xf>
    <xf numFmtId="0" fontId="4" fillId="0" borderId="5" xfId="1" applyFont="1" applyBorder="1" applyAlignment="1">
      <alignment horizontal="center" vertical="distributed"/>
    </xf>
    <xf numFmtId="0" fontId="5" fillId="0" borderId="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4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distributed"/>
    </xf>
    <xf numFmtId="0" fontId="4" fillId="0" borderId="9" xfId="1" applyFont="1" applyBorder="1" applyAlignment="1">
      <alignment horizontal="center" vertical="center" wrapText="1"/>
    </xf>
    <xf numFmtId="180" fontId="4" fillId="0" borderId="9" xfId="1" applyNumberFormat="1" applyFont="1" applyBorder="1" applyAlignment="1">
      <alignment horizontal="center" vertical="distributed" wrapText="1"/>
    </xf>
    <xf numFmtId="180" fontId="4" fillId="0" borderId="10" xfId="1" applyNumberFormat="1" applyFont="1" applyBorder="1" applyAlignment="1">
      <alignment horizontal="center" vertical="distributed" wrapText="1"/>
    </xf>
    <xf numFmtId="180" fontId="4" fillId="0" borderId="6" xfId="1" applyNumberFormat="1" applyFont="1" applyBorder="1" applyAlignment="1">
      <alignment horizontal="center" vertical="distributed" wrapText="1"/>
    </xf>
    <xf numFmtId="0" fontId="4" fillId="0" borderId="6" xfId="1" applyFont="1" applyBorder="1" applyAlignment="1">
      <alignment horizontal="center" vertical="distributed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13</xdr:row>
          <xdr:rowOff>57150</xdr:rowOff>
        </xdr:from>
        <xdr:to>
          <xdr:col>15</xdr:col>
          <xdr:colOff>9525</xdr:colOff>
          <xdr:row>16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W15" sqref="W15"/>
    </sheetView>
  </sheetViews>
  <sheetFormatPr defaultRowHeight="14.25" x14ac:dyDescent="0.15"/>
  <cols>
    <col min="1" max="1" width="18.75" style="1" customWidth="1"/>
    <col min="2" max="5" width="5" style="1" customWidth="1"/>
    <col min="6" max="15" width="4.625" style="1" customWidth="1"/>
    <col min="16" max="16" width="7.75" style="1" customWidth="1"/>
    <col min="17" max="17" width="9" style="20"/>
    <col min="18" max="16384" width="9" style="1"/>
  </cols>
  <sheetData>
    <row r="1" spans="1:21" ht="14.25" customHeight="1" x14ac:dyDescent="0.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21" ht="14.25" customHeight="1" thickBo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21" ht="14.25" customHeight="1" x14ac:dyDescent="0.15">
      <c r="A3" s="16" t="s">
        <v>1</v>
      </c>
      <c r="B3" s="35" t="s">
        <v>2</v>
      </c>
      <c r="C3" s="36"/>
      <c r="D3" s="35"/>
      <c r="E3" s="52"/>
      <c r="F3" s="40" t="s">
        <v>3</v>
      </c>
      <c r="G3" s="40"/>
      <c r="H3" s="30"/>
      <c r="I3" s="31"/>
      <c r="J3" s="32"/>
      <c r="K3" s="40" t="s">
        <v>4</v>
      </c>
      <c r="L3" s="40"/>
      <c r="M3" s="35"/>
      <c r="N3" s="36"/>
      <c r="O3" s="15"/>
      <c r="P3" s="15"/>
      <c r="R3" s="17"/>
      <c r="S3" s="17"/>
      <c r="T3" s="17"/>
      <c r="U3" s="17"/>
    </row>
    <row r="4" spans="1:21" ht="14.25" customHeight="1" x14ac:dyDescent="0.15">
      <c r="A4" s="22" t="s">
        <v>5</v>
      </c>
      <c r="B4" s="33" t="s">
        <v>6</v>
      </c>
      <c r="C4" s="25" t="s">
        <v>7</v>
      </c>
      <c r="D4" s="25" t="s">
        <v>8</v>
      </c>
      <c r="E4" s="26" t="s">
        <v>9</v>
      </c>
      <c r="F4" s="39" t="s">
        <v>10</v>
      </c>
      <c r="G4" s="39"/>
      <c r="H4" s="54" t="s">
        <v>28</v>
      </c>
      <c r="I4" s="55"/>
      <c r="J4" s="56"/>
      <c r="K4" s="39" t="s">
        <v>22</v>
      </c>
      <c r="L4" s="39"/>
      <c r="M4" s="54" t="s">
        <v>27</v>
      </c>
      <c r="N4" s="55"/>
      <c r="O4" s="14"/>
      <c r="P4" s="53" t="s">
        <v>26</v>
      </c>
      <c r="R4" s="17"/>
      <c r="S4" s="17"/>
      <c r="T4" s="17"/>
      <c r="U4" s="17"/>
    </row>
    <row r="5" spans="1:21" ht="14.25" customHeight="1" x14ac:dyDescent="0.15">
      <c r="A5" s="22"/>
      <c r="B5" s="33"/>
      <c r="C5" s="34"/>
      <c r="D5" s="34"/>
      <c r="E5" s="27"/>
      <c r="F5" s="39" t="s">
        <v>21</v>
      </c>
      <c r="G5" s="39"/>
      <c r="H5" s="37">
        <v>600</v>
      </c>
      <c r="I5" s="38"/>
      <c r="J5" s="57"/>
      <c r="K5" s="39" t="s">
        <v>20</v>
      </c>
      <c r="L5" s="39"/>
      <c r="M5" s="37">
        <v>3.75</v>
      </c>
      <c r="N5" s="38"/>
      <c r="O5" s="13"/>
      <c r="P5" s="53"/>
      <c r="R5" s="17"/>
      <c r="S5" s="17"/>
      <c r="T5" s="17"/>
      <c r="U5" s="17"/>
    </row>
    <row r="6" spans="1:21" ht="14.25" customHeight="1" x14ac:dyDescent="0.15">
      <c r="A6" s="22"/>
      <c r="B6" s="33"/>
      <c r="C6" s="34"/>
      <c r="D6" s="34"/>
      <c r="E6" s="24"/>
      <c r="F6" s="12">
        <v>1</v>
      </c>
      <c r="G6" s="12">
        <v>2</v>
      </c>
      <c r="H6" s="12">
        <v>3</v>
      </c>
      <c r="I6" s="12">
        <v>4</v>
      </c>
      <c r="J6" s="12">
        <v>5</v>
      </c>
      <c r="K6" s="12">
        <v>6</v>
      </c>
      <c r="L6" s="12">
        <v>7</v>
      </c>
      <c r="M6" s="12">
        <v>8</v>
      </c>
      <c r="N6" s="12">
        <v>9</v>
      </c>
      <c r="O6" s="12">
        <v>10</v>
      </c>
      <c r="P6" s="53"/>
      <c r="R6" s="17"/>
      <c r="S6" s="17"/>
      <c r="T6" s="17"/>
      <c r="U6" s="17"/>
    </row>
    <row r="7" spans="1:21" ht="14.25" customHeight="1" x14ac:dyDescent="0.15">
      <c r="A7" s="22" t="s">
        <v>19</v>
      </c>
      <c r="B7" s="10" t="s">
        <v>25</v>
      </c>
      <c r="C7" s="10">
        <v>10</v>
      </c>
      <c r="D7" s="23">
        <v>0.25</v>
      </c>
      <c r="E7" s="25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P7" s="7">
        <f t="shared" ref="P7:P12" si="0">SUM(F7:O7)</f>
        <v>0</v>
      </c>
      <c r="R7" s="17"/>
      <c r="S7" s="17"/>
      <c r="T7" s="17"/>
      <c r="U7" s="17"/>
    </row>
    <row r="8" spans="1:21" ht="14.25" customHeight="1" x14ac:dyDescent="0.15">
      <c r="A8" s="22"/>
      <c r="B8" s="10" t="s">
        <v>24</v>
      </c>
      <c r="C8" s="10">
        <v>30</v>
      </c>
      <c r="D8" s="24"/>
      <c r="E8" s="25"/>
      <c r="F8" s="8"/>
      <c r="G8" s="8"/>
      <c r="H8" s="8"/>
      <c r="I8" s="8"/>
      <c r="J8" s="8"/>
      <c r="K8" s="8"/>
      <c r="L8" s="8"/>
      <c r="M8" s="8"/>
      <c r="N8" s="8"/>
      <c r="O8" s="8"/>
      <c r="P8" s="7">
        <f t="shared" si="0"/>
        <v>0</v>
      </c>
      <c r="Q8" s="20">
        <f>IF(D7*(100-P7*C7*1000/H5-P8*C8*1000/H5)&gt;0,D7*(100-P7*C7*1000/H5-P8*C8*1000/H5),0)</f>
        <v>25</v>
      </c>
      <c r="R8" s="17"/>
      <c r="S8" s="17"/>
      <c r="T8" s="17"/>
      <c r="U8" s="17"/>
    </row>
    <row r="9" spans="1:21" ht="14.25" customHeight="1" x14ac:dyDescent="0.15">
      <c r="A9" s="11" t="s">
        <v>18</v>
      </c>
      <c r="B9" s="10"/>
      <c r="C9" s="10">
        <v>20</v>
      </c>
      <c r="D9" s="10">
        <v>0.1</v>
      </c>
      <c r="E9" s="9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7">
        <f t="shared" si="0"/>
        <v>0</v>
      </c>
      <c r="Q9" s="20">
        <f>IF(D9*(100-P9*C9*1000/H5)&gt;0,D9*(100-P9*C9*1000/H5),0)</f>
        <v>10</v>
      </c>
      <c r="R9" s="17"/>
      <c r="S9" s="17"/>
      <c r="T9" s="17"/>
      <c r="U9" s="17"/>
    </row>
    <row r="10" spans="1:21" ht="14.25" customHeight="1" x14ac:dyDescent="0.15">
      <c r="A10" s="11" t="s">
        <v>23</v>
      </c>
      <c r="B10" s="10"/>
      <c r="C10" s="10">
        <v>20</v>
      </c>
      <c r="D10" s="10">
        <v>0.25</v>
      </c>
      <c r="E10" s="9" t="s">
        <v>17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7">
        <f t="shared" si="0"/>
        <v>0</v>
      </c>
      <c r="Q10" s="20">
        <f>IF(D10*(100-P10*C10*1000/H5)&gt;0,D10*(100-P10*C10*1000/H5),0)</f>
        <v>25</v>
      </c>
      <c r="R10" s="17"/>
      <c r="S10" s="17"/>
      <c r="T10" s="17"/>
      <c r="U10" s="17"/>
    </row>
    <row r="11" spans="1:21" ht="14.25" customHeight="1" x14ac:dyDescent="0.15">
      <c r="A11" s="11" t="s">
        <v>16</v>
      </c>
      <c r="B11" s="10"/>
      <c r="C11" s="10">
        <v>0.1</v>
      </c>
      <c r="D11" s="10">
        <v>0.2</v>
      </c>
      <c r="E11" s="9" t="s">
        <v>14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7">
        <f t="shared" si="0"/>
        <v>0</v>
      </c>
      <c r="Q11" s="20">
        <f>IF(D11*(100-P11*C11*1000/H5)&gt;0,D11*(100-P11*C11*1000/H5),0)</f>
        <v>20</v>
      </c>
      <c r="R11" s="17"/>
      <c r="S11" s="17"/>
      <c r="T11" s="17"/>
      <c r="U11" s="17"/>
    </row>
    <row r="12" spans="1:21" ht="14.25" customHeight="1" x14ac:dyDescent="0.15">
      <c r="A12" s="11" t="s">
        <v>15</v>
      </c>
      <c r="B12" s="10"/>
      <c r="C12" s="10">
        <v>0.1</v>
      </c>
      <c r="D12" s="10">
        <v>0.2</v>
      </c>
      <c r="E12" s="9" t="s">
        <v>14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7">
        <f t="shared" si="0"/>
        <v>0</v>
      </c>
      <c r="Q12" s="20">
        <f>IF(D12*(100-P12*C12*1000/H5)&gt;0,D12*(100-P12*C12*1000/H5),0)</f>
        <v>20</v>
      </c>
      <c r="R12" s="17"/>
      <c r="S12" s="17"/>
      <c r="T12" s="17"/>
      <c r="U12" s="17"/>
    </row>
    <row r="13" spans="1:21" ht="14.25" customHeight="1" x14ac:dyDescent="0.1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1"/>
      <c r="R13" s="17"/>
      <c r="S13" s="17"/>
      <c r="T13" s="17"/>
      <c r="U13" s="17"/>
    </row>
    <row r="14" spans="1:21" ht="14.25" customHeight="1" x14ac:dyDescent="0.15">
      <c r="A14" s="6" t="s">
        <v>13</v>
      </c>
      <c r="B14" s="41"/>
      <c r="C14" s="41"/>
      <c r="D14" s="41"/>
      <c r="E14" s="42"/>
      <c r="F14" s="47" t="s">
        <v>12</v>
      </c>
      <c r="G14" s="48"/>
      <c r="H14" s="48"/>
      <c r="I14" s="48"/>
      <c r="J14" s="48"/>
      <c r="K14" s="41"/>
      <c r="L14" s="41"/>
      <c r="M14" s="41"/>
      <c r="N14" s="41"/>
      <c r="O14" s="41"/>
      <c r="P14" s="41"/>
      <c r="R14" s="17"/>
      <c r="S14" s="17"/>
      <c r="T14" s="17"/>
      <c r="U14" s="17"/>
    </row>
    <row r="15" spans="1:21" ht="14.25" customHeight="1" x14ac:dyDescent="0.15">
      <c r="A15" s="5" t="s">
        <v>11</v>
      </c>
      <c r="B15" s="4">
        <f>IF((SUM(Q7:Q12))&lt;0,0,SUM(Q7:Q12))</f>
        <v>100</v>
      </c>
      <c r="C15" s="3"/>
      <c r="D15" s="3"/>
      <c r="E15" s="2"/>
      <c r="F15" s="49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21"/>
      <c r="R15" s="18" t="str">
        <f>H4</f>
        <v>K6+400</v>
      </c>
      <c r="S15" s="18" t="str">
        <f>M4</f>
        <v>K7</v>
      </c>
      <c r="T15" s="19">
        <f>B15</f>
        <v>100</v>
      </c>
      <c r="U15" s="17"/>
    </row>
    <row r="16" spans="1:21" ht="14.25" customHeight="1" x14ac:dyDescent="0.15">
      <c r="A16" s="41"/>
      <c r="B16" s="41"/>
      <c r="C16" s="41"/>
      <c r="D16" s="41"/>
      <c r="E16" s="42"/>
      <c r="F16" s="49"/>
      <c r="G16" s="41"/>
      <c r="H16" s="41"/>
      <c r="I16" s="41"/>
      <c r="J16" s="41"/>
      <c r="K16" s="41"/>
      <c r="L16" s="41"/>
      <c r="M16" s="41"/>
      <c r="N16" s="41"/>
      <c r="O16" s="41"/>
      <c r="P16" s="41"/>
      <c r="R16" s="17"/>
      <c r="S16" s="17"/>
      <c r="T16" s="17"/>
      <c r="U16" s="17"/>
    </row>
    <row r="17" spans="1:21" ht="14.25" customHeight="1" x14ac:dyDescent="0.15">
      <c r="A17" s="41"/>
      <c r="B17" s="41"/>
      <c r="C17" s="41"/>
      <c r="D17" s="41"/>
      <c r="E17" s="42"/>
      <c r="F17" s="49"/>
      <c r="G17" s="41"/>
      <c r="H17" s="41"/>
      <c r="I17" s="41"/>
      <c r="J17" s="41"/>
      <c r="K17" s="41"/>
      <c r="L17" s="41"/>
      <c r="M17" s="41"/>
      <c r="N17" s="41"/>
      <c r="O17" s="41"/>
      <c r="P17" s="41"/>
      <c r="R17" s="17"/>
      <c r="S17" s="17"/>
      <c r="T17" s="17"/>
      <c r="U17" s="17"/>
    </row>
    <row r="18" spans="1:21" ht="14.25" customHeight="1" thickBot="1" x14ac:dyDescent="0.2">
      <c r="A18" s="43"/>
      <c r="B18" s="43"/>
      <c r="C18" s="43"/>
      <c r="D18" s="43"/>
      <c r="E18" s="44"/>
      <c r="F18" s="50"/>
      <c r="G18" s="43"/>
      <c r="H18" s="43"/>
      <c r="I18" s="43"/>
      <c r="J18" s="43"/>
      <c r="K18" s="43"/>
      <c r="L18" s="43"/>
      <c r="M18" s="43"/>
      <c r="N18" s="43"/>
      <c r="O18" s="43"/>
      <c r="P18" s="43"/>
      <c r="R18" s="17"/>
      <c r="S18" s="17"/>
      <c r="T18" s="17"/>
      <c r="U18" s="17"/>
    </row>
  </sheetData>
  <mergeCells count="31">
    <mergeCell ref="D3:E3"/>
    <mergeCell ref="P4:P6"/>
    <mergeCell ref="F5:G5"/>
    <mergeCell ref="K4:L4"/>
    <mergeCell ref="M4:N4"/>
    <mergeCell ref="K5:L5"/>
    <mergeCell ref="H4:J4"/>
    <mergeCell ref="H5:J5"/>
    <mergeCell ref="A16:E18"/>
    <mergeCell ref="A13:E13"/>
    <mergeCell ref="F14:J14"/>
    <mergeCell ref="F15:P18"/>
    <mergeCell ref="K14:P14"/>
    <mergeCell ref="F13:P13"/>
    <mergeCell ref="B14:E14"/>
    <mergeCell ref="A7:A8"/>
    <mergeCell ref="D7:D8"/>
    <mergeCell ref="E7:E8"/>
    <mergeCell ref="E4:E6"/>
    <mergeCell ref="A1:P2"/>
    <mergeCell ref="H3:J3"/>
    <mergeCell ref="A4:A6"/>
    <mergeCell ref="B4:B6"/>
    <mergeCell ref="C4:C6"/>
    <mergeCell ref="D4:D6"/>
    <mergeCell ref="M3:N3"/>
    <mergeCell ref="M5:N5"/>
    <mergeCell ref="B3:C3"/>
    <mergeCell ref="F4:G4"/>
    <mergeCell ref="F3:G3"/>
    <mergeCell ref="K3:L3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9</xdr:col>
                <xdr:colOff>38100</xdr:colOff>
                <xdr:row>13</xdr:row>
                <xdr:rowOff>57150</xdr:rowOff>
              </from>
              <to>
                <xdr:col>15</xdr:col>
                <xdr:colOff>9525</xdr:colOff>
                <xdr:row>16</xdr:row>
                <xdr:rowOff>66675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沿线设施损坏调查表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2021-08-13T03:10:09Z</dcterms:modified>
</cp:coreProperties>
</file>