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4895" yWindow="60" windowWidth="19200" windowHeight="11640"/>
  </bookViews>
  <sheets>
    <sheet name="路基损坏调查表" sheetId="4" r:id="rId1"/>
  </sheets>
  <definedNames>
    <definedName name="_xlnm._FilterDatabase" localSheetId="0" hidden="1">路基损坏调查表!$T$1:$T$30</definedName>
  </definedNames>
  <calcPr calcId="144525"/>
</workbook>
</file>

<file path=xl/calcChain.xml><?xml version="1.0" encoding="utf-8"?>
<calcChain xmlns="http://schemas.openxmlformats.org/spreadsheetml/2006/main">
  <c r="Q22" i="4" l="1"/>
  <c r="Q19" i="4"/>
  <c r="Q18" i="4"/>
  <c r="Q15" i="4"/>
  <c r="Q12" i="4"/>
  <c r="Q9" i="4"/>
  <c r="Q7" i="4"/>
  <c r="B27" i="4" l="1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7" i="4"/>
  <c r="P22" i="4" l="1"/>
  <c r="P19" i="4"/>
  <c r="P15" i="4"/>
  <c r="P12" i="4"/>
  <c r="P9" i="4"/>
  <c r="P7" i="4"/>
  <c r="P18" i="4"/>
  <c r="S27" i="4" l="1"/>
</calcChain>
</file>

<file path=xl/sharedStrings.xml><?xml version="1.0" encoding="utf-8"?>
<sst xmlns="http://schemas.openxmlformats.org/spreadsheetml/2006/main" count="49" uniqueCount="33">
  <si>
    <t>调查方向:</t>
    <phoneticPr fontId="3" type="noConversion"/>
  </si>
  <si>
    <t>调查时间：</t>
    <phoneticPr fontId="3" type="noConversion"/>
  </si>
  <si>
    <t>调查人员：</t>
    <phoneticPr fontId="3" type="noConversion"/>
  </si>
  <si>
    <t>调查内容</t>
    <phoneticPr fontId="3" type="noConversion"/>
  </si>
  <si>
    <t>程度</t>
    <phoneticPr fontId="3" type="noConversion"/>
  </si>
  <si>
    <t>单位
扣分</t>
    <phoneticPr fontId="3" type="noConversion"/>
  </si>
  <si>
    <t>权重
Wi</t>
    <phoneticPr fontId="3" type="noConversion"/>
  </si>
  <si>
    <t>计量
单位</t>
    <phoneticPr fontId="3" type="noConversion"/>
  </si>
  <si>
    <t>起点桩号：</t>
    <phoneticPr fontId="3" type="noConversion"/>
  </si>
  <si>
    <t>计算方法:</t>
    <phoneticPr fontId="3" type="noConversion"/>
  </si>
  <si>
    <t>评定结果:</t>
    <phoneticPr fontId="3" type="noConversion"/>
  </si>
  <si>
    <t>m</t>
    <phoneticPr fontId="3" type="noConversion"/>
  </si>
  <si>
    <t>处</t>
    <phoneticPr fontId="3" type="noConversion"/>
  </si>
  <si>
    <t>路面宽度：</t>
    <phoneticPr fontId="3" type="noConversion"/>
  </si>
  <si>
    <t>路段长度：</t>
    <phoneticPr fontId="3" type="noConversion"/>
  </si>
  <si>
    <t>终点桩号：</t>
    <phoneticPr fontId="3" type="noConversion"/>
  </si>
  <si>
    <t>重</t>
    <phoneticPr fontId="3" type="noConversion"/>
  </si>
  <si>
    <t>轻</t>
    <phoneticPr fontId="3" type="noConversion"/>
  </si>
  <si>
    <t>累计
损坏</t>
    <phoneticPr fontId="3" type="noConversion"/>
  </si>
  <si>
    <t>路肩损坏</t>
    <phoneticPr fontId="3" type="noConversion"/>
  </si>
  <si>
    <r>
      <t>m</t>
    </r>
    <r>
      <rPr>
        <vertAlign val="superscript"/>
        <sz val="10"/>
        <rFont val="宋体"/>
        <family val="3"/>
        <charset val="134"/>
      </rPr>
      <t>2</t>
    </r>
    <phoneticPr fontId="3" type="noConversion"/>
  </si>
  <si>
    <t>边坡坍塌</t>
    <phoneticPr fontId="3" type="noConversion"/>
  </si>
  <si>
    <t>路基损坏调查表</t>
    <phoneticPr fontId="3" type="noConversion"/>
  </si>
  <si>
    <t>轻</t>
    <phoneticPr fontId="1" type="noConversion"/>
  </si>
  <si>
    <t>中</t>
    <phoneticPr fontId="1" type="noConversion"/>
  </si>
  <si>
    <t>重</t>
    <phoneticPr fontId="1" type="noConversion"/>
  </si>
  <si>
    <t>水毁冲沟</t>
    <phoneticPr fontId="1" type="noConversion"/>
  </si>
  <si>
    <t>路基构造物损坏</t>
    <phoneticPr fontId="1" type="noConversion"/>
  </si>
  <si>
    <t>路缘石缺损</t>
    <phoneticPr fontId="1" type="noConversion"/>
  </si>
  <si>
    <t>路基沉降</t>
    <phoneticPr fontId="1" type="noConversion"/>
  </si>
  <si>
    <t>排水不畅</t>
    <phoneticPr fontId="3" type="noConversion"/>
  </si>
  <si>
    <t>路线名称:</t>
    <phoneticPr fontId="3" type="noConversion"/>
  </si>
  <si>
    <t>SCI =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</si>
</sst>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000\+000"/>
    <numFmt numFmtId="177" formatCode="000\+000"/>
    <numFmt numFmtId="178" formatCode="0.00_ "/>
    <numFmt numFmtId="179" formatCode="0000&quot;年&quot;00&quot;月&quot;00&quot;日&quot;"/>
    <numFmt numFmtId="180" formatCode="\K0000\+000"/>
  </numFmts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2"/>
      <color theme="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vertAlign val="superscript"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69">
    <xf numFmtId="0" fontId="0" fillId="0" borderId="0" xfId="0">
      <alignment vertical="center"/>
    </xf>
    <xf numFmtId="0" fontId="6" fillId="0" borderId="0" xfId="1"/>
    <xf numFmtId="0" fontId="5" fillId="0" borderId="15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2" fillId="0" borderId="0" xfId="1" applyFont="1" applyBorder="1" applyAlignment="1">
      <alignment horizontal="right" vertical="center"/>
    </xf>
    <xf numFmtId="178" fontId="4" fillId="0" borderId="9" xfId="1" applyNumberFormat="1" applyFont="1" applyBorder="1" applyAlignment="1">
      <alignment horizontal="center" vertical="center"/>
    </xf>
    <xf numFmtId="0" fontId="4" fillId="0" borderId="7" xfId="1" applyNumberFormat="1" applyFont="1" applyBorder="1" applyAlignment="1">
      <alignment horizontal="center" vertical="distributed"/>
    </xf>
    <xf numFmtId="0" fontId="4" fillId="0" borderId="7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distributed"/>
    </xf>
    <xf numFmtId="0" fontId="4" fillId="0" borderId="10" xfId="1" applyFont="1" applyBorder="1" applyAlignment="1">
      <alignment vertical="distributed" wrapText="1"/>
    </xf>
    <xf numFmtId="177" fontId="4" fillId="0" borderId="10" xfId="1" applyNumberFormat="1" applyFont="1" applyBorder="1" applyAlignment="1">
      <alignment vertical="distributed" wrapText="1"/>
    </xf>
    <xf numFmtId="0" fontId="4" fillId="0" borderId="4" xfId="1" applyFont="1" applyBorder="1" applyAlignment="1">
      <alignment vertical="distributed"/>
    </xf>
    <xf numFmtId="0" fontId="4" fillId="0" borderId="2" xfId="1" applyFont="1" applyBorder="1" applyAlignment="1">
      <alignment horizontal="left" vertical="center"/>
    </xf>
    <xf numFmtId="0" fontId="7" fillId="0" borderId="0" xfId="1" applyFont="1"/>
    <xf numFmtId="176" fontId="8" fillId="0" borderId="0" xfId="0" applyNumberFormat="1" applyFont="1" applyAlignment="1"/>
    <xf numFmtId="0" fontId="8" fillId="0" borderId="0" xfId="0" applyNumberFormat="1" applyFont="1" applyAlignment="1"/>
    <xf numFmtId="0" fontId="4" fillId="0" borderId="6" xfId="1" applyFont="1" applyBorder="1" applyAlignment="1">
      <alignment horizontal="center" vertical="distributed"/>
    </xf>
    <xf numFmtId="0" fontId="4" fillId="0" borderId="7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0" fontId="7" fillId="0" borderId="0" xfId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7" fillId="0" borderId="0" xfId="1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8" fontId="4" fillId="0" borderId="14" xfId="1" applyNumberFormat="1" applyFont="1" applyBorder="1" applyAlignment="1">
      <alignment horizontal="center" vertical="center"/>
    </xf>
    <xf numFmtId="178" fontId="4" fillId="0" borderId="16" xfId="1" applyNumberFormat="1" applyFont="1" applyBorder="1" applyAlignment="1">
      <alignment horizontal="center" vertical="center"/>
    </xf>
    <xf numFmtId="178" fontId="4" fillId="0" borderId="20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distributed"/>
    </xf>
    <xf numFmtId="0" fontId="4" fillId="0" borderId="15" xfId="1" applyFont="1" applyBorder="1" applyAlignment="1">
      <alignment horizontal="center" vertical="distributed"/>
    </xf>
    <xf numFmtId="0" fontId="4" fillId="0" borderId="19" xfId="1" applyFont="1" applyBorder="1" applyAlignment="1">
      <alignment horizontal="center" vertical="distributed"/>
    </xf>
    <xf numFmtId="0" fontId="4" fillId="0" borderId="3" xfId="1" applyFont="1" applyBorder="1" applyAlignment="1">
      <alignment horizontal="center" vertical="distributed"/>
    </xf>
    <xf numFmtId="0" fontId="4" fillId="0" borderId="2" xfId="1" applyFont="1" applyBorder="1" applyAlignment="1">
      <alignment horizontal="center" vertical="distributed"/>
    </xf>
    <xf numFmtId="0" fontId="4" fillId="0" borderId="9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distributed" wrapText="1"/>
    </xf>
    <xf numFmtId="180" fontId="4" fillId="0" borderId="9" xfId="1" applyNumberFormat="1" applyFont="1" applyBorder="1" applyAlignment="1">
      <alignment horizontal="center" vertical="distributed" wrapText="1"/>
    </xf>
    <xf numFmtId="180" fontId="4" fillId="0" borderId="10" xfId="1" applyNumberFormat="1" applyFont="1" applyBorder="1" applyAlignment="1">
      <alignment horizontal="center" vertical="distributed" wrapText="1"/>
    </xf>
    <xf numFmtId="180" fontId="4" fillId="0" borderId="6" xfId="1" applyNumberFormat="1" applyFont="1" applyBorder="1" applyAlignment="1">
      <alignment horizontal="center" vertical="distributed" wrapText="1"/>
    </xf>
    <xf numFmtId="0" fontId="4" fillId="0" borderId="9" xfId="1" applyFont="1" applyBorder="1" applyAlignment="1">
      <alignment horizontal="center" vertical="distributed" wrapText="1"/>
    </xf>
    <xf numFmtId="0" fontId="4" fillId="0" borderId="10" xfId="1" applyFont="1" applyBorder="1" applyAlignment="1">
      <alignment horizontal="center" vertical="distributed" wrapText="1"/>
    </xf>
    <xf numFmtId="0" fontId="4" fillId="0" borderId="6" xfId="1" applyFont="1" applyBorder="1" applyAlignment="1">
      <alignment horizontal="center" vertical="distributed" wrapText="1"/>
    </xf>
    <xf numFmtId="0" fontId="5" fillId="0" borderId="0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3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2" fillId="0" borderId="16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4" xfId="1" applyFont="1" applyBorder="1" applyAlignment="1">
      <alignment horizontal="left" vertical="center"/>
    </xf>
    <xf numFmtId="0" fontId="4" fillId="0" borderId="6" xfId="1" applyFont="1" applyBorder="1" applyAlignment="1">
      <alignment horizontal="center" vertical="distributed"/>
    </xf>
    <xf numFmtId="0" fontId="4" fillId="0" borderId="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distributed"/>
    </xf>
    <xf numFmtId="0" fontId="2" fillId="0" borderId="1" xfId="1" applyFont="1" applyBorder="1" applyAlignment="1">
      <alignment horizontal="center" vertical="distributed"/>
    </xf>
    <xf numFmtId="179" fontId="4" fillId="0" borderId="3" xfId="1" applyNumberFormat="1" applyFont="1" applyBorder="1" applyAlignment="1">
      <alignment horizontal="center" vertical="center"/>
    </xf>
    <xf numFmtId="179" fontId="4" fillId="0" borderId="4" xfId="1" applyNumberFormat="1" applyFont="1" applyBorder="1" applyAlignment="1">
      <alignment horizontal="center" vertical="center"/>
    </xf>
    <xf numFmtId="179" fontId="4" fillId="0" borderId="2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distributed"/>
    </xf>
    <xf numFmtId="0" fontId="4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distributed"/>
    </xf>
    <xf numFmtId="0" fontId="4" fillId="0" borderId="5" xfId="1" applyFont="1" applyBorder="1" applyAlignment="1">
      <alignment horizontal="center" vertical="distributed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133350</xdr:colOff>
          <xdr:row>25</xdr:row>
          <xdr:rowOff>161925</xdr:rowOff>
        </xdr:from>
        <xdr:to>
          <xdr:col>15</xdr:col>
          <xdr:colOff>561975</xdr:colOff>
          <xdr:row>29</xdr:row>
          <xdr:rowOff>133350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30"/>
  <sheetViews>
    <sheetView tabSelected="1" workbookViewId="0">
      <selection activeCell="X18" sqref="X18"/>
    </sheetView>
  </sheetViews>
  <sheetFormatPr defaultRowHeight="14.25" x14ac:dyDescent="0.15"/>
  <cols>
    <col min="1" max="1" width="18.75" style="1" customWidth="1"/>
    <col min="2" max="5" width="5" style="1" customWidth="1"/>
    <col min="6" max="15" width="4.625" style="1" customWidth="1"/>
    <col min="16" max="16" width="7.75" style="1" customWidth="1"/>
    <col min="17" max="17" width="9" style="21"/>
    <col min="18" max="18" width="9.5" style="23" bestFit="1" customWidth="1"/>
    <col min="19" max="16384" width="9" style="1"/>
  </cols>
  <sheetData>
    <row r="1" spans="1:21" ht="14.25" customHeight="1" x14ac:dyDescent="0.15">
      <c r="A1" s="60" t="s">
        <v>22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</row>
    <row r="2" spans="1:21" ht="14.25" customHeight="1" thickBot="1" x14ac:dyDescent="0.2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</row>
    <row r="3" spans="1:21" ht="14.25" customHeight="1" x14ac:dyDescent="0.15">
      <c r="A3" s="14" t="s">
        <v>31</v>
      </c>
      <c r="B3" s="37" t="s">
        <v>0</v>
      </c>
      <c r="C3" s="67"/>
      <c r="D3" s="37"/>
      <c r="E3" s="38"/>
      <c r="F3" s="68" t="s">
        <v>1</v>
      </c>
      <c r="G3" s="68"/>
      <c r="H3" s="62"/>
      <c r="I3" s="63"/>
      <c r="J3" s="64"/>
      <c r="K3" s="68" t="s">
        <v>2</v>
      </c>
      <c r="L3" s="68"/>
      <c r="M3" s="37"/>
      <c r="N3" s="67"/>
      <c r="O3" s="13"/>
      <c r="P3" s="13"/>
      <c r="S3" s="15"/>
      <c r="T3" s="15"/>
      <c r="U3" s="15"/>
    </row>
    <row r="4" spans="1:21" ht="14.25" customHeight="1" x14ac:dyDescent="0.15">
      <c r="A4" s="58" t="s">
        <v>3</v>
      </c>
      <c r="B4" s="65" t="s">
        <v>4</v>
      </c>
      <c r="C4" s="59" t="s">
        <v>5</v>
      </c>
      <c r="D4" s="59" t="s">
        <v>6</v>
      </c>
      <c r="E4" s="28" t="s">
        <v>7</v>
      </c>
      <c r="F4" s="40" t="s">
        <v>8</v>
      </c>
      <c r="G4" s="40"/>
      <c r="H4" s="41"/>
      <c r="I4" s="42"/>
      <c r="J4" s="43"/>
      <c r="K4" s="40" t="s">
        <v>15</v>
      </c>
      <c r="L4" s="40"/>
      <c r="M4" s="41"/>
      <c r="N4" s="42"/>
      <c r="O4" s="12"/>
      <c r="P4" s="39" t="s">
        <v>18</v>
      </c>
      <c r="S4" s="15"/>
      <c r="T4" s="15"/>
      <c r="U4" s="15"/>
    </row>
    <row r="5" spans="1:21" ht="14.25" customHeight="1" x14ac:dyDescent="0.15">
      <c r="A5" s="58"/>
      <c r="B5" s="65"/>
      <c r="C5" s="66"/>
      <c r="D5" s="66"/>
      <c r="E5" s="32"/>
      <c r="F5" s="40" t="s">
        <v>14</v>
      </c>
      <c r="G5" s="40"/>
      <c r="H5" s="44"/>
      <c r="I5" s="45"/>
      <c r="J5" s="46"/>
      <c r="K5" s="40" t="s">
        <v>13</v>
      </c>
      <c r="L5" s="40"/>
      <c r="M5" s="44"/>
      <c r="N5" s="45"/>
      <c r="O5" s="11"/>
      <c r="P5" s="39"/>
      <c r="S5" s="15"/>
      <c r="T5" s="15"/>
      <c r="U5" s="15"/>
    </row>
    <row r="6" spans="1:21" ht="14.25" customHeight="1" x14ac:dyDescent="0.15">
      <c r="A6" s="58"/>
      <c r="B6" s="65"/>
      <c r="C6" s="66"/>
      <c r="D6" s="66"/>
      <c r="E6" s="33"/>
      <c r="F6" s="10">
        <v>1</v>
      </c>
      <c r="G6" s="10">
        <v>2</v>
      </c>
      <c r="H6" s="10">
        <v>3</v>
      </c>
      <c r="I6" s="10">
        <v>4</v>
      </c>
      <c r="J6" s="10">
        <v>5</v>
      </c>
      <c r="K6" s="10">
        <v>6</v>
      </c>
      <c r="L6" s="10">
        <v>7</v>
      </c>
      <c r="M6" s="10">
        <v>8</v>
      </c>
      <c r="N6" s="10">
        <v>9</v>
      </c>
      <c r="O6" s="10">
        <v>10</v>
      </c>
      <c r="P6" s="39"/>
      <c r="S6" s="15"/>
      <c r="T6" s="15"/>
      <c r="U6" s="15"/>
    </row>
    <row r="7" spans="1:21" ht="14.25" customHeight="1" x14ac:dyDescent="0.15">
      <c r="A7" s="58" t="s">
        <v>19</v>
      </c>
      <c r="B7" s="9" t="s">
        <v>17</v>
      </c>
      <c r="C7" s="9">
        <v>1</v>
      </c>
      <c r="D7" s="31">
        <v>0.1</v>
      </c>
      <c r="E7" s="59" t="s">
        <v>20</v>
      </c>
      <c r="F7" s="8"/>
      <c r="G7" s="8"/>
      <c r="H7" s="8"/>
      <c r="I7" s="8"/>
      <c r="J7" s="8"/>
      <c r="K7" s="8"/>
      <c r="L7" s="8"/>
      <c r="M7" s="8"/>
      <c r="N7" s="8"/>
      <c r="O7" s="8"/>
      <c r="P7" s="25">
        <f>SUM(F7:O8)</f>
        <v>0</v>
      </c>
      <c r="Q7" s="21" t="e">
        <f>D7*IF((100-C7*SUM(F7:O7)*1000/H5-C8*SUM(F8:O8)*1000/H5)&gt;0,(100-C7*SUM(F7:O7)*1000/H5-C8*SUM(F8:O8)*1000/H5),0)</f>
        <v>#DIV/0!</v>
      </c>
      <c r="R7" s="23">
        <f>SUM(F7:O7)</f>
        <v>0</v>
      </c>
      <c r="S7" s="15"/>
      <c r="T7" s="15"/>
      <c r="U7" s="15"/>
    </row>
    <row r="8" spans="1:21" ht="14.25" customHeight="1" x14ac:dyDescent="0.15">
      <c r="A8" s="58"/>
      <c r="B8" s="9" t="s">
        <v>16</v>
      </c>
      <c r="C8" s="9">
        <v>2</v>
      </c>
      <c r="D8" s="33"/>
      <c r="E8" s="59"/>
      <c r="F8" s="8"/>
      <c r="G8" s="8"/>
      <c r="H8" s="8"/>
      <c r="I8" s="8"/>
      <c r="J8" s="8"/>
      <c r="K8" s="8"/>
      <c r="L8" s="8"/>
      <c r="M8" s="8"/>
      <c r="N8" s="8"/>
      <c r="O8" s="8"/>
      <c r="P8" s="27"/>
      <c r="R8" s="23">
        <f t="shared" ref="R8:R24" si="0">SUM(F8:O8)</f>
        <v>0</v>
      </c>
      <c r="S8" s="15"/>
      <c r="T8" s="15"/>
      <c r="U8" s="15"/>
    </row>
    <row r="9" spans="1:21" ht="14.25" customHeight="1" x14ac:dyDescent="0.15">
      <c r="A9" s="34" t="s">
        <v>21</v>
      </c>
      <c r="B9" s="9" t="s">
        <v>23</v>
      </c>
      <c r="C9" s="9">
        <v>20</v>
      </c>
      <c r="D9" s="31">
        <v>0.25</v>
      </c>
      <c r="E9" s="28" t="s">
        <v>12</v>
      </c>
      <c r="F9" s="8"/>
      <c r="G9" s="8"/>
      <c r="H9" s="8"/>
      <c r="I9" s="8"/>
      <c r="J9" s="8"/>
      <c r="K9" s="8"/>
      <c r="L9" s="8"/>
      <c r="M9" s="8"/>
      <c r="N9" s="8"/>
      <c r="O9" s="8"/>
      <c r="P9" s="25">
        <f>SUM(F9:O11)</f>
        <v>0</v>
      </c>
      <c r="Q9" s="21" t="e">
        <f>D9*IF((100-C9*SUM(F9:O9)*1000/H5-C10*SUM(F10:O10)*1000/H5-C11*SUM(F11:O11)*1000/H5)&gt;0,(100-C9*SUM(F9:O9)*1000/H5-C10*SUM(F10:O10)*1000/H5-C11*SUM(F11:O11)*1000/H5),0)</f>
        <v>#DIV/0!</v>
      </c>
      <c r="R9" s="23">
        <f t="shared" si="0"/>
        <v>0</v>
      </c>
      <c r="S9" s="15"/>
      <c r="T9" s="15"/>
      <c r="U9" s="15"/>
    </row>
    <row r="10" spans="1:21" ht="14.25" customHeight="1" x14ac:dyDescent="0.15">
      <c r="A10" s="35"/>
      <c r="B10" s="9" t="s">
        <v>24</v>
      </c>
      <c r="C10" s="9">
        <v>50</v>
      </c>
      <c r="D10" s="32"/>
      <c r="E10" s="29"/>
      <c r="F10" s="8"/>
      <c r="G10" s="8"/>
      <c r="H10" s="8"/>
      <c r="I10" s="8"/>
      <c r="J10" s="8"/>
      <c r="K10" s="8"/>
      <c r="L10" s="8"/>
      <c r="M10" s="8"/>
      <c r="N10" s="8"/>
      <c r="O10" s="8"/>
      <c r="P10" s="26"/>
      <c r="R10" s="23">
        <f t="shared" si="0"/>
        <v>0</v>
      </c>
      <c r="S10" s="15"/>
      <c r="T10" s="15"/>
      <c r="U10" s="15"/>
    </row>
    <row r="11" spans="1:21" ht="14.25" customHeight="1" x14ac:dyDescent="0.15">
      <c r="A11" s="36"/>
      <c r="B11" s="9" t="s">
        <v>25</v>
      </c>
      <c r="C11" s="9">
        <v>100</v>
      </c>
      <c r="D11" s="33"/>
      <c r="E11" s="30"/>
      <c r="F11" s="8"/>
      <c r="G11" s="8"/>
      <c r="H11" s="8"/>
      <c r="I11" s="8"/>
      <c r="J11" s="8"/>
      <c r="K11" s="8"/>
      <c r="L11" s="8"/>
      <c r="M11" s="8"/>
      <c r="N11" s="8"/>
      <c r="O11" s="8"/>
      <c r="P11" s="27"/>
      <c r="R11" s="23">
        <f t="shared" si="0"/>
        <v>0</v>
      </c>
      <c r="S11" s="15"/>
      <c r="T11" s="15"/>
      <c r="U11" s="15"/>
    </row>
    <row r="12" spans="1:21" ht="14.25" customHeight="1" x14ac:dyDescent="0.15">
      <c r="A12" s="34" t="s">
        <v>26</v>
      </c>
      <c r="B12" s="20" t="s">
        <v>23</v>
      </c>
      <c r="C12" s="20">
        <v>20</v>
      </c>
      <c r="D12" s="31">
        <v>0.15</v>
      </c>
      <c r="E12" s="28" t="s">
        <v>12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25">
        <f>SUM(F12:O14)</f>
        <v>0</v>
      </c>
      <c r="Q12" s="21" t="e">
        <f>D12*IF((100-C12*SUM(F12:O12)*1000/H5-C13*SUM(F13:O13)*1000/H5-C14*SUM(F14:O14)*1000/H5)&gt;0,(100-C12*SUM(F12:O12)*1000/H5-C13*SUM(F13:O13)*1000/H5-C14*SUM(F14:O14)*1000/H5),0)</f>
        <v>#DIV/0!</v>
      </c>
      <c r="R12" s="23">
        <f t="shared" si="0"/>
        <v>0</v>
      </c>
      <c r="S12" s="15"/>
      <c r="T12" s="15"/>
      <c r="U12" s="15"/>
    </row>
    <row r="13" spans="1:21" ht="14.25" customHeight="1" x14ac:dyDescent="0.15">
      <c r="A13" s="35"/>
      <c r="B13" s="20" t="s">
        <v>24</v>
      </c>
      <c r="C13" s="20">
        <v>30</v>
      </c>
      <c r="D13" s="32"/>
      <c r="E13" s="29"/>
      <c r="F13" s="8"/>
      <c r="G13" s="8"/>
      <c r="H13" s="8"/>
      <c r="I13" s="8"/>
      <c r="J13" s="8"/>
      <c r="K13" s="8"/>
      <c r="L13" s="8"/>
      <c r="M13" s="8"/>
      <c r="N13" s="8"/>
      <c r="O13" s="8"/>
      <c r="P13" s="26"/>
      <c r="R13" s="23">
        <f t="shared" si="0"/>
        <v>0</v>
      </c>
      <c r="S13" s="15"/>
      <c r="T13" s="15"/>
      <c r="U13" s="15"/>
    </row>
    <row r="14" spans="1:21" ht="14.25" customHeight="1" x14ac:dyDescent="0.15">
      <c r="A14" s="36"/>
      <c r="B14" s="20" t="s">
        <v>25</v>
      </c>
      <c r="C14" s="20">
        <v>50</v>
      </c>
      <c r="D14" s="33"/>
      <c r="E14" s="30"/>
      <c r="F14" s="8"/>
      <c r="G14" s="8"/>
      <c r="H14" s="8"/>
      <c r="I14" s="8"/>
      <c r="J14" s="8"/>
      <c r="K14" s="8"/>
      <c r="L14" s="8"/>
      <c r="M14" s="8"/>
      <c r="N14" s="8"/>
      <c r="O14" s="8"/>
      <c r="P14" s="27"/>
      <c r="R14" s="23">
        <f t="shared" si="0"/>
        <v>0</v>
      </c>
      <c r="S14" s="15"/>
      <c r="T14" s="15"/>
      <c r="U14" s="15"/>
    </row>
    <row r="15" spans="1:21" ht="14.25" customHeight="1" x14ac:dyDescent="0.15">
      <c r="A15" s="34" t="s">
        <v>27</v>
      </c>
      <c r="B15" s="20" t="s">
        <v>23</v>
      </c>
      <c r="C15" s="20">
        <v>20</v>
      </c>
      <c r="D15" s="31">
        <v>0.1</v>
      </c>
      <c r="E15" s="28" t="s">
        <v>12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25">
        <f>SUM(F15:O17)</f>
        <v>0</v>
      </c>
      <c r="Q15" s="21" t="e">
        <f>D15*IF((100-C15*SUM(F15:O15)*1000/H5-C16*SUM(F16:O16)*1000/H5-C17*SUM(F17:O17)*1000/H5)&gt;0,(100-C15*SUM(F15:O15)*1000/H5-C16*SUM(F16:O16)*1000/H5-C17*SUM(F17:O17)*1000/H5),0)</f>
        <v>#DIV/0!</v>
      </c>
      <c r="R15" s="23">
        <f t="shared" si="0"/>
        <v>0</v>
      </c>
      <c r="S15" s="15"/>
      <c r="T15" s="15"/>
      <c r="U15" s="15"/>
    </row>
    <row r="16" spans="1:21" ht="14.25" customHeight="1" x14ac:dyDescent="0.15">
      <c r="A16" s="35"/>
      <c r="B16" s="20" t="s">
        <v>24</v>
      </c>
      <c r="C16" s="20">
        <v>50</v>
      </c>
      <c r="D16" s="32"/>
      <c r="E16" s="29"/>
      <c r="F16" s="8"/>
      <c r="G16" s="8"/>
      <c r="H16" s="8"/>
      <c r="I16" s="8"/>
      <c r="J16" s="8"/>
      <c r="K16" s="8"/>
      <c r="L16" s="8"/>
      <c r="M16" s="8"/>
      <c r="N16" s="8"/>
      <c r="O16" s="8"/>
      <c r="P16" s="26"/>
      <c r="R16" s="23">
        <f t="shared" si="0"/>
        <v>0</v>
      </c>
      <c r="S16" s="15"/>
      <c r="T16" s="15"/>
      <c r="U16" s="15"/>
    </row>
    <row r="17" spans="1:21" ht="14.25" customHeight="1" x14ac:dyDescent="0.15">
      <c r="A17" s="36"/>
      <c r="B17" s="20" t="s">
        <v>25</v>
      </c>
      <c r="C17" s="20">
        <v>100</v>
      </c>
      <c r="D17" s="33"/>
      <c r="E17" s="30"/>
      <c r="F17" s="8"/>
      <c r="G17" s="8"/>
      <c r="H17" s="8"/>
      <c r="I17" s="8"/>
      <c r="J17" s="8"/>
      <c r="K17" s="8"/>
      <c r="L17" s="8"/>
      <c r="M17" s="8"/>
      <c r="N17" s="8"/>
      <c r="O17" s="8"/>
      <c r="P17" s="27"/>
      <c r="R17" s="23">
        <f t="shared" si="0"/>
        <v>0</v>
      </c>
      <c r="S17" s="15"/>
      <c r="T17" s="15"/>
      <c r="U17" s="15"/>
    </row>
    <row r="18" spans="1:21" ht="14.25" customHeight="1" x14ac:dyDescent="0.15">
      <c r="A18" s="18" t="s">
        <v>28</v>
      </c>
      <c r="B18" s="20"/>
      <c r="C18" s="20">
        <v>4</v>
      </c>
      <c r="D18" s="20">
        <v>0.05</v>
      </c>
      <c r="E18" s="19" t="s">
        <v>11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7">
        <f t="shared" ref="P18" si="1">SUM(F18:O18)</f>
        <v>0</v>
      </c>
      <c r="Q18" s="21" t="e">
        <f>D18*IF((100-C18*SUM(F18:O18)*1000/H5)&gt;0,(100-C18*SUM(F18:O18)*1000/H5),0)</f>
        <v>#DIV/0!</v>
      </c>
      <c r="R18" s="23">
        <f t="shared" si="0"/>
        <v>0</v>
      </c>
      <c r="S18" s="15"/>
      <c r="T18" s="15"/>
      <c r="U18" s="15"/>
    </row>
    <row r="19" spans="1:21" ht="14.25" customHeight="1" x14ac:dyDescent="0.15">
      <c r="A19" s="34" t="s">
        <v>29</v>
      </c>
      <c r="B19" s="20" t="s">
        <v>23</v>
      </c>
      <c r="C19" s="20">
        <v>20</v>
      </c>
      <c r="D19" s="31">
        <v>0.25</v>
      </c>
      <c r="E19" s="28" t="s">
        <v>12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25">
        <f>SUM(F19:O21)</f>
        <v>0</v>
      </c>
      <c r="Q19" s="21" t="e">
        <f>D19*IF((100-C19*SUM(F19:O19)*1000/H5-C20*SUM(F20:O20)*1000/H5-C21*SUM(F21:O21)*1000/H5)&gt;0,(100-C19*SUM(F19:O19)*1000/H5-C20*SUM(F20:O20)*1000/H5-C21*SUM(F21:O21)*1000/H5),0)</f>
        <v>#DIV/0!</v>
      </c>
      <c r="R19" s="23">
        <f t="shared" si="0"/>
        <v>0</v>
      </c>
      <c r="S19" s="15"/>
      <c r="T19" s="15"/>
      <c r="U19" s="15"/>
    </row>
    <row r="20" spans="1:21" ht="14.25" customHeight="1" x14ac:dyDescent="0.15">
      <c r="A20" s="35"/>
      <c r="B20" s="20" t="s">
        <v>24</v>
      </c>
      <c r="C20" s="20">
        <v>30</v>
      </c>
      <c r="D20" s="32"/>
      <c r="E20" s="29"/>
      <c r="F20" s="8"/>
      <c r="G20" s="8"/>
      <c r="H20" s="8"/>
      <c r="I20" s="8"/>
      <c r="J20" s="8"/>
      <c r="K20" s="8"/>
      <c r="L20" s="8"/>
      <c r="M20" s="8"/>
      <c r="N20" s="8"/>
      <c r="O20" s="8"/>
      <c r="P20" s="26"/>
      <c r="R20" s="23">
        <f t="shared" si="0"/>
        <v>0</v>
      </c>
      <c r="S20" s="15"/>
      <c r="T20" s="15"/>
      <c r="U20" s="15"/>
    </row>
    <row r="21" spans="1:21" ht="14.25" customHeight="1" x14ac:dyDescent="0.15">
      <c r="A21" s="36"/>
      <c r="B21" s="20" t="s">
        <v>25</v>
      </c>
      <c r="C21" s="20">
        <v>50</v>
      </c>
      <c r="D21" s="33"/>
      <c r="E21" s="30"/>
      <c r="F21" s="8"/>
      <c r="G21" s="8"/>
      <c r="H21" s="8"/>
      <c r="I21" s="8"/>
      <c r="J21" s="8"/>
      <c r="K21" s="8"/>
      <c r="L21" s="8"/>
      <c r="M21" s="8"/>
      <c r="N21" s="8"/>
      <c r="O21" s="8"/>
      <c r="P21" s="27"/>
      <c r="R21" s="23">
        <f t="shared" si="0"/>
        <v>0</v>
      </c>
      <c r="S21" s="15"/>
      <c r="T21" s="15"/>
      <c r="U21" s="15"/>
    </row>
    <row r="22" spans="1:21" ht="14.25" customHeight="1" x14ac:dyDescent="0.15">
      <c r="A22" s="34" t="s">
        <v>30</v>
      </c>
      <c r="B22" s="20" t="s">
        <v>23</v>
      </c>
      <c r="C22" s="20">
        <v>20</v>
      </c>
      <c r="D22" s="31">
        <v>0.1</v>
      </c>
      <c r="E22" s="28" t="s">
        <v>12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25">
        <f>SUM(F22:O24)</f>
        <v>0</v>
      </c>
      <c r="Q22" s="21" t="e">
        <f>D22*IF((100-C22*SUM(F22:O22)*1000/H5-C23*SUM(F23:O23)*1000/H5-C24*SUM(F24:O24)*1000/H5)&gt;0,(100-C22*SUM(F22:O22)*1000/H5-C23*SUM(F23:O23)*1000/H5-C24*SUM(F24:O24)*1000/H5),0)</f>
        <v>#DIV/0!</v>
      </c>
      <c r="R22" s="23">
        <f t="shared" si="0"/>
        <v>0</v>
      </c>
      <c r="S22" s="15"/>
      <c r="T22" s="15"/>
      <c r="U22" s="15"/>
    </row>
    <row r="23" spans="1:21" ht="14.25" customHeight="1" x14ac:dyDescent="0.15">
      <c r="A23" s="35"/>
      <c r="B23" s="20" t="s">
        <v>24</v>
      </c>
      <c r="C23" s="20">
        <v>50</v>
      </c>
      <c r="D23" s="32"/>
      <c r="E23" s="29"/>
      <c r="F23" s="8"/>
      <c r="G23" s="8"/>
      <c r="H23" s="8"/>
      <c r="I23" s="8"/>
      <c r="J23" s="8"/>
      <c r="K23" s="8"/>
      <c r="L23" s="8"/>
      <c r="M23" s="8"/>
      <c r="N23" s="8"/>
      <c r="O23" s="8"/>
      <c r="P23" s="26"/>
      <c r="R23" s="23">
        <f t="shared" si="0"/>
        <v>0</v>
      </c>
      <c r="S23" s="15"/>
      <c r="T23" s="15"/>
      <c r="U23" s="15"/>
    </row>
    <row r="24" spans="1:21" ht="14.25" customHeight="1" x14ac:dyDescent="0.15">
      <c r="A24" s="36"/>
      <c r="B24" s="20" t="s">
        <v>25</v>
      </c>
      <c r="C24" s="9">
        <v>100</v>
      </c>
      <c r="D24" s="33"/>
      <c r="E24" s="30"/>
      <c r="F24" s="8"/>
      <c r="G24" s="8"/>
      <c r="H24" s="8"/>
      <c r="I24" s="8"/>
      <c r="J24" s="8"/>
      <c r="K24" s="8"/>
      <c r="L24" s="8"/>
      <c r="M24" s="8"/>
      <c r="N24" s="8"/>
      <c r="O24" s="8"/>
      <c r="P24" s="27"/>
      <c r="R24" s="23">
        <f t="shared" si="0"/>
        <v>0</v>
      </c>
      <c r="S24" s="15"/>
      <c r="T24" s="15"/>
      <c r="U24" s="15"/>
    </row>
    <row r="25" spans="1:21" ht="14.25" customHeight="1" x14ac:dyDescent="0.15">
      <c r="A25" s="51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7"/>
      <c r="S25" s="15"/>
      <c r="T25" s="15"/>
      <c r="U25" s="15"/>
    </row>
    <row r="26" spans="1:21" ht="14.25" customHeight="1" x14ac:dyDescent="0.15">
      <c r="A26" s="6" t="s">
        <v>10</v>
      </c>
      <c r="B26" s="47"/>
      <c r="C26" s="47"/>
      <c r="D26" s="47"/>
      <c r="E26" s="48"/>
      <c r="F26" s="53" t="s">
        <v>9</v>
      </c>
      <c r="G26" s="54"/>
      <c r="H26" s="54"/>
      <c r="I26" s="54"/>
      <c r="J26" s="54"/>
      <c r="K26" s="47"/>
      <c r="L26" s="47"/>
      <c r="M26" s="47"/>
      <c r="N26" s="47"/>
      <c r="O26" s="47"/>
      <c r="P26" s="47"/>
      <c r="S26" s="15"/>
      <c r="T26" s="15"/>
      <c r="U26" s="15"/>
    </row>
    <row r="27" spans="1:21" ht="14.25" customHeight="1" x14ac:dyDescent="0.15">
      <c r="A27" s="5" t="s">
        <v>32</v>
      </c>
      <c r="B27" s="4" t="e">
        <f>IF(R17&gt;0,0,IF((SUM(Q7:Q24))&lt;0,0,SUM(Q7:Q24)))</f>
        <v>#DIV/0!</v>
      </c>
      <c r="C27" s="3"/>
      <c r="D27" s="3"/>
      <c r="E27" s="2"/>
      <c r="F27" s="55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22"/>
      <c r="R27" s="24"/>
      <c r="S27" s="16">
        <f>M4</f>
        <v>0</v>
      </c>
      <c r="T27" s="17"/>
      <c r="U27" s="15"/>
    </row>
    <row r="28" spans="1:21" ht="14.25" customHeight="1" x14ac:dyDescent="0.15">
      <c r="A28" s="47"/>
      <c r="B28" s="47"/>
      <c r="C28" s="47"/>
      <c r="D28" s="47"/>
      <c r="E28" s="48"/>
      <c r="F28" s="55"/>
      <c r="G28" s="47"/>
      <c r="H28" s="47"/>
      <c r="I28" s="47"/>
      <c r="J28" s="47"/>
      <c r="K28" s="47"/>
      <c r="L28" s="47"/>
      <c r="M28" s="47"/>
      <c r="N28" s="47"/>
      <c r="O28" s="47"/>
      <c r="P28" s="47"/>
      <c r="S28" s="15"/>
      <c r="T28" s="15"/>
      <c r="U28" s="15"/>
    </row>
    <row r="29" spans="1:21" ht="14.25" customHeight="1" x14ac:dyDescent="0.15">
      <c r="A29" s="47"/>
      <c r="B29" s="47"/>
      <c r="C29" s="47"/>
      <c r="D29" s="47"/>
      <c r="E29" s="48"/>
      <c r="F29" s="55"/>
      <c r="G29" s="47"/>
      <c r="H29" s="47"/>
      <c r="I29" s="47"/>
      <c r="J29" s="47"/>
      <c r="K29" s="47"/>
      <c r="L29" s="47"/>
      <c r="M29" s="47"/>
      <c r="N29" s="47"/>
      <c r="O29" s="47"/>
      <c r="P29" s="47"/>
      <c r="S29" s="15"/>
      <c r="T29" s="15"/>
      <c r="U29" s="15"/>
    </row>
    <row r="30" spans="1:21" ht="14.25" customHeight="1" thickBot="1" x14ac:dyDescent="0.2">
      <c r="A30" s="49"/>
      <c r="B30" s="49"/>
      <c r="C30" s="49"/>
      <c r="D30" s="49"/>
      <c r="E30" s="50"/>
      <c r="F30" s="56"/>
      <c r="G30" s="49"/>
      <c r="H30" s="49"/>
      <c r="I30" s="49"/>
      <c r="J30" s="49"/>
      <c r="K30" s="49"/>
      <c r="L30" s="49"/>
      <c r="M30" s="49"/>
      <c r="N30" s="49"/>
      <c r="O30" s="49"/>
      <c r="P30" s="49"/>
      <c r="S30" s="15"/>
      <c r="T30" s="15"/>
      <c r="U30" s="15"/>
    </row>
  </sheetData>
  <mergeCells count="52">
    <mergeCell ref="A7:A8"/>
    <mergeCell ref="D7:D8"/>
    <mergeCell ref="E7:E8"/>
    <mergeCell ref="E4:E6"/>
    <mergeCell ref="A1:P2"/>
    <mergeCell ref="H3:J3"/>
    <mergeCell ref="A4:A6"/>
    <mergeCell ref="B4:B6"/>
    <mergeCell ref="C4:C6"/>
    <mergeCell ref="D4:D6"/>
    <mergeCell ref="M3:N3"/>
    <mergeCell ref="M5:N5"/>
    <mergeCell ref="B3:C3"/>
    <mergeCell ref="F4:G4"/>
    <mergeCell ref="F3:G3"/>
    <mergeCell ref="K3:L3"/>
    <mergeCell ref="A28:E30"/>
    <mergeCell ref="A25:E25"/>
    <mergeCell ref="F26:J26"/>
    <mergeCell ref="F27:P30"/>
    <mergeCell ref="K26:P26"/>
    <mergeCell ref="F25:P25"/>
    <mergeCell ref="B26:E26"/>
    <mergeCell ref="D3:E3"/>
    <mergeCell ref="P4:P6"/>
    <mergeCell ref="F5:G5"/>
    <mergeCell ref="K4:L4"/>
    <mergeCell ref="M4:N4"/>
    <mergeCell ref="K5:L5"/>
    <mergeCell ref="H4:J4"/>
    <mergeCell ref="H5:J5"/>
    <mergeCell ref="A9:A11"/>
    <mergeCell ref="A12:A14"/>
    <mergeCell ref="A15:A17"/>
    <mergeCell ref="A19:A21"/>
    <mergeCell ref="A22:A24"/>
    <mergeCell ref="D9:D11"/>
    <mergeCell ref="D12:D14"/>
    <mergeCell ref="D15:D17"/>
    <mergeCell ref="D19:D21"/>
    <mergeCell ref="D22:D24"/>
    <mergeCell ref="E9:E11"/>
    <mergeCell ref="E12:E14"/>
    <mergeCell ref="E15:E17"/>
    <mergeCell ref="E19:E21"/>
    <mergeCell ref="E22:E24"/>
    <mergeCell ref="P22:P24"/>
    <mergeCell ref="P7:P8"/>
    <mergeCell ref="P9:P11"/>
    <mergeCell ref="P12:P14"/>
    <mergeCell ref="P15:P17"/>
    <mergeCell ref="P19:P21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Equation.3" shapeId="2049" r:id="rId4">
          <objectPr defaultSize="0" autoPict="0" r:id="rId5">
            <anchor moveWithCells="1">
              <from>
                <xdr:col>8</xdr:col>
                <xdr:colOff>133350</xdr:colOff>
                <xdr:row>25</xdr:row>
                <xdr:rowOff>161925</xdr:rowOff>
              </from>
              <to>
                <xdr:col>15</xdr:col>
                <xdr:colOff>561975</xdr:colOff>
                <xdr:row>29</xdr:row>
                <xdr:rowOff>133350</xdr:rowOff>
              </to>
            </anchor>
          </objectPr>
        </oleObject>
      </mc:Choice>
      <mc:Fallback>
        <oleObject progId="Equation.3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路基损坏调查表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2021-08-13T03:09:48Z</dcterms:modified>
</cp:coreProperties>
</file>